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documenttasks/documenttask1.xml" ContentType="application/vnd.ms-excel.documenttasks+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hayde\Downloads\"/>
    </mc:Choice>
  </mc:AlternateContent>
  <xr:revisionPtr revIDLastSave="0" documentId="13_ncr:1_{A42550E0-3404-4727-BCF8-A6A92887DF13}" xr6:coauthVersionLast="47" xr6:coauthVersionMax="47" xr10:uidLastSave="{00000000-0000-0000-0000-000000000000}"/>
  <bookViews>
    <workbookView xWindow="1035" yWindow="1035" windowWidth="24585" windowHeight="11715" xr2:uid="{00000000-000D-0000-FFFF-FFFF00000000}"/>
  </bookViews>
  <sheets>
    <sheet name="Title" sheetId="1" r:id="rId1"/>
    <sheet name="Instructions" sheetId="2" r:id="rId2"/>
    <sheet name="Cap Table" sheetId="3" r:id="rId3"/>
    <sheet name="Lists" sheetId="4" state="hidden" r:id="rId4"/>
  </sheets>
  <definedNames>
    <definedName name="CN_conversion_method">'Cap Table'!$C$19</definedName>
    <definedName name="CN_table">'Cap Table'!$G$13:$H$26</definedName>
    <definedName name="CN1_cap">'Cap Table'!$G$16</definedName>
    <definedName name="CN1_disc">'Cap Table'!$G$15</definedName>
    <definedName name="CN1_disccap">'Cap Table'!$G$22</definedName>
    <definedName name="CN1_invested">'Cap Table'!$G$18</definedName>
    <definedName name="CN1_value">'Cap Table'!$G$19</definedName>
    <definedName name="CN2_cap">'Cap Table'!$H$16</definedName>
    <definedName name="CN2_disc">'Cap Table'!$H$15</definedName>
    <definedName name="CN2_disccap">'Cap Table'!$H$22</definedName>
    <definedName name="CN2_invested">'Cap Table'!$H$18</definedName>
    <definedName name="CN2_value">'Cap Table'!$H$19</definedName>
    <definedName name="inputs">'Cap Table'!$C$13:$C$27</definedName>
    <definedName name="investment_date">'Cap Table'!$C$27</definedName>
    <definedName name="issue_share_price">'Cap Table'!$C$26</definedName>
    <definedName name="new_money">'Cap Table'!$C$16</definedName>
    <definedName name="optionholder_shares">'Cap Table'!$E$74</definedName>
    <definedName name="post_money_option_pool">'Cap Table'!$C$22</definedName>
    <definedName name="post_money_valuation">'Cap Table'!$C$20</definedName>
    <definedName name="pre_money">'Cap Table'!$C$21</definedName>
    <definedName name="pre_money_valuation">'Cap Table'!$C$21</definedName>
    <definedName name="share_classes">Lists!$D$12:$D$15</definedName>
    <definedName name="shareholder_shares">'Cap Table'!$E$33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6" i="4" l="1"/>
  <c r="D15" i="4"/>
  <c r="D14" i="4"/>
  <c r="D13" i="4"/>
  <c r="D12" i="4"/>
  <c r="O81" i="3"/>
  <c r="O80" i="3"/>
  <c r="O79" i="3"/>
  <c r="O78" i="3"/>
  <c r="O77" i="3"/>
  <c r="O76" i="3"/>
  <c r="O75" i="3"/>
  <c r="O74" i="3"/>
  <c r="E74" i="3"/>
  <c r="E62" i="3"/>
  <c r="J45" i="3"/>
  <c r="J33" i="3"/>
  <c r="C16" i="3" s="1"/>
  <c r="E33" i="3"/>
  <c r="H18" i="3"/>
  <c r="G18" i="3"/>
  <c r="C20" i="3" l="1"/>
  <c r="G19" i="3"/>
  <c r="H19" i="3"/>
  <c r="E87" i="3"/>
  <c r="E86" i="3"/>
  <c r="G59" i="3" l="1"/>
  <c r="H59" i="3" s="1"/>
  <c r="G55" i="3"/>
  <c r="H55" i="3" s="1"/>
  <c r="G51" i="3"/>
  <c r="H51" i="3" s="1"/>
  <c r="G47" i="3"/>
  <c r="H47" i="3" s="1"/>
  <c r="G78" i="3"/>
  <c r="H78" i="3" s="1"/>
  <c r="G75" i="3"/>
  <c r="G39" i="3"/>
  <c r="H39" i="3" s="1"/>
  <c r="G80" i="3"/>
  <c r="H80" i="3" s="1"/>
  <c r="G60" i="3"/>
  <c r="H60" i="3" s="1"/>
  <c r="G56" i="3"/>
  <c r="H56" i="3" s="1"/>
  <c r="G52" i="3"/>
  <c r="H52" i="3" s="1"/>
  <c r="G48" i="3"/>
  <c r="H48" i="3" s="1"/>
  <c r="G43" i="3"/>
  <c r="H43" i="3" s="1"/>
  <c r="G35" i="3"/>
  <c r="H35" i="3" s="1"/>
  <c r="G42" i="3"/>
  <c r="H42" i="3" s="1"/>
  <c r="G38" i="3"/>
  <c r="H38" i="3" s="1"/>
  <c r="G34" i="3"/>
  <c r="G77" i="3"/>
  <c r="H77" i="3" s="1"/>
  <c r="G57" i="3"/>
  <c r="H57" i="3" s="1"/>
  <c r="G53" i="3"/>
  <c r="H53" i="3" s="1"/>
  <c r="G49" i="3"/>
  <c r="H49" i="3" s="1"/>
  <c r="G58" i="3"/>
  <c r="H58" i="3" s="1"/>
  <c r="G54" i="3"/>
  <c r="H54" i="3" s="1"/>
  <c r="G50" i="3"/>
  <c r="H50" i="3" s="1"/>
  <c r="G46" i="3"/>
  <c r="G40" i="3"/>
  <c r="H40" i="3" s="1"/>
  <c r="G36" i="3"/>
  <c r="H36" i="3" s="1"/>
  <c r="G79" i="3"/>
  <c r="H79" i="3" s="1"/>
  <c r="G81" i="3"/>
  <c r="H81" i="3" s="1"/>
  <c r="G41" i="3"/>
  <c r="H41" i="3" s="1"/>
  <c r="G37" i="3"/>
  <c r="H37" i="3" s="1"/>
  <c r="G76" i="3"/>
  <c r="H76" i="3" s="1"/>
  <c r="H21" i="3"/>
  <c r="H20" i="3"/>
  <c r="G21" i="3"/>
  <c r="G20" i="3"/>
  <c r="F42" i="3"/>
  <c r="F38" i="3"/>
  <c r="F34" i="3"/>
  <c r="F56" i="3"/>
  <c r="F52" i="3"/>
  <c r="F60" i="3"/>
  <c r="F48" i="3"/>
  <c r="F43" i="3"/>
  <c r="F39" i="3"/>
  <c r="F35" i="3"/>
  <c r="F59" i="3"/>
  <c r="F55" i="3"/>
  <c r="F51" i="3"/>
  <c r="F47" i="3"/>
  <c r="F57" i="3"/>
  <c r="F53" i="3"/>
  <c r="F49" i="3"/>
  <c r="F40" i="3"/>
  <c r="F36" i="3"/>
  <c r="F58" i="3"/>
  <c r="F54" i="3"/>
  <c r="F50" i="3"/>
  <c r="F46" i="3"/>
  <c r="F41" i="3"/>
  <c r="F37" i="3"/>
  <c r="F33" i="3" l="1"/>
  <c r="H75" i="3"/>
  <c r="H74" i="3" s="1"/>
  <c r="G74" i="3"/>
  <c r="G23" i="3"/>
  <c r="C17" i="3" s="1"/>
  <c r="G22" i="3"/>
  <c r="H34" i="3"/>
  <c r="H33" i="3" s="1"/>
  <c r="G33" i="3"/>
  <c r="F45" i="3"/>
  <c r="G45" i="3"/>
  <c r="H46" i="3"/>
  <c r="H45" i="3" s="1"/>
  <c r="H22" i="3"/>
  <c r="H23" i="3"/>
  <c r="C18" i="3" s="1"/>
  <c r="D45" i="4" l="1"/>
  <c r="C21" i="3"/>
  <c r="G87" i="3"/>
  <c r="H87" i="3"/>
  <c r="F86" i="3"/>
  <c r="D41" i="4" l="1"/>
  <c r="D42" i="4"/>
  <c r="D43" i="4"/>
  <c r="D40" i="4"/>
  <c r="D46" i="4" a="1"/>
  <c r="D46" i="4" s="1"/>
  <c r="D47" i="4" l="1"/>
  <c r="D48" i="4"/>
  <c r="O84" i="3" l="1"/>
  <c r="E23" i="3"/>
  <c r="C24" i="3" l="1"/>
  <c r="C26" i="3"/>
  <c r="N84" i="3" s="1"/>
  <c r="C25" i="3" s="1"/>
  <c r="K43" i="3" l="1"/>
  <c r="O43" i="3" s="1"/>
  <c r="K39" i="3"/>
  <c r="O39" i="3" s="1"/>
  <c r="K35" i="3"/>
  <c r="O35" i="3" s="1"/>
  <c r="N77" i="3"/>
  <c r="K49" i="3"/>
  <c r="O49" i="3" s="1"/>
  <c r="K57" i="3"/>
  <c r="O57" i="3" s="1"/>
  <c r="K53" i="3"/>
  <c r="O53" i="3" s="1"/>
  <c r="K40" i="3"/>
  <c r="O40" i="3" s="1"/>
  <c r="K36" i="3"/>
  <c r="O36" i="3" s="1"/>
  <c r="K60" i="3"/>
  <c r="O60" i="3" s="1"/>
  <c r="K56" i="3"/>
  <c r="O56" i="3" s="1"/>
  <c r="K52" i="3"/>
  <c r="O52" i="3" s="1"/>
  <c r="K48" i="3"/>
  <c r="O48" i="3" s="1"/>
  <c r="N79" i="3"/>
  <c r="G24" i="3"/>
  <c r="G25" i="3" s="1"/>
  <c r="G26" i="3" s="1"/>
  <c r="K58" i="3"/>
  <c r="O58" i="3" s="1"/>
  <c r="K54" i="3"/>
  <c r="O54" i="3" s="1"/>
  <c r="K50" i="3"/>
  <c r="O50" i="3" s="1"/>
  <c r="K46" i="3"/>
  <c r="K41" i="3"/>
  <c r="O41" i="3" s="1"/>
  <c r="K37" i="3"/>
  <c r="O37" i="3" s="1"/>
  <c r="H24" i="3"/>
  <c r="H25" i="3" s="1"/>
  <c r="H26" i="3" s="1"/>
  <c r="K59" i="3"/>
  <c r="O59" i="3" s="1"/>
  <c r="K55" i="3"/>
  <c r="O55" i="3" s="1"/>
  <c r="K51" i="3"/>
  <c r="O51" i="3" s="1"/>
  <c r="K47" i="3"/>
  <c r="O47" i="3" s="1"/>
  <c r="N78" i="3"/>
  <c r="K42" i="3"/>
  <c r="O42" i="3" s="1"/>
  <c r="K38" i="3"/>
  <c r="O38" i="3" s="1"/>
  <c r="K34" i="3"/>
  <c r="N75" i="3"/>
  <c r="N81" i="3"/>
  <c r="N76" i="3"/>
  <c r="N80" i="3"/>
  <c r="N59" i="3" l="1"/>
  <c r="N40" i="3"/>
  <c r="N55" i="3"/>
  <c r="O46" i="3"/>
  <c r="K45" i="3"/>
  <c r="N60" i="3"/>
  <c r="N57" i="3"/>
  <c r="N56" i="3"/>
  <c r="N74" i="3"/>
  <c r="N50" i="3"/>
  <c r="N38" i="3"/>
  <c r="N54" i="3"/>
  <c r="N49" i="3"/>
  <c r="O69" i="3"/>
  <c r="O71" i="3"/>
  <c r="O70" i="3"/>
  <c r="O68" i="3"/>
  <c r="O72" i="3"/>
  <c r="O65" i="3"/>
  <c r="N36" i="3"/>
  <c r="N41" i="3"/>
  <c r="N53" i="3"/>
  <c r="O34" i="3"/>
  <c r="K33" i="3"/>
  <c r="N42" i="3"/>
  <c r="N58" i="3"/>
  <c r="N35" i="3"/>
  <c r="N52" i="3"/>
  <c r="O64" i="3"/>
  <c r="O66" i="3"/>
  <c r="O67" i="3"/>
  <c r="O63" i="3"/>
  <c r="N47" i="3"/>
  <c r="N39" i="3"/>
  <c r="N37" i="3"/>
  <c r="N51" i="3"/>
  <c r="N48" i="3"/>
  <c r="N43" i="3"/>
  <c r="P71" i="3" l="1"/>
  <c r="N71" i="3"/>
  <c r="P66" i="3"/>
  <c r="N66" i="3"/>
  <c r="N63" i="3"/>
  <c r="O62" i="3"/>
  <c r="N70" i="3"/>
  <c r="P69" i="3"/>
  <c r="N69" i="3"/>
  <c r="N46" i="3"/>
  <c r="N45" i="3" s="1"/>
  <c r="O45" i="3"/>
  <c r="N67" i="3"/>
  <c r="P64" i="3"/>
  <c r="N64" i="3"/>
  <c r="P65" i="3"/>
  <c r="N65" i="3"/>
  <c r="K86" i="3"/>
  <c r="N72" i="3"/>
  <c r="O33" i="3"/>
  <c r="O86" i="3" s="1"/>
  <c r="P46" i="3" s="1"/>
  <c r="N34" i="3"/>
  <c r="N33" i="3" s="1"/>
  <c r="P34" i="3"/>
  <c r="P68" i="3"/>
  <c r="N68" i="3"/>
  <c r="P70" i="3" l="1"/>
  <c r="N86" i="3"/>
  <c r="N87" i="3" s="1"/>
  <c r="N62" i="3"/>
  <c r="L60" i="3"/>
  <c r="L56" i="3"/>
  <c r="L52" i="3"/>
  <c r="L48" i="3"/>
  <c r="L36" i="3"/>
  <c r="L57" i="3"/>
  <c r="L53" i="3"/>
  <c r="L49" i="3"/>
  <c r="L40" i="3"/>
  <c r="L43" i="3"/>
  <c r="L39" i="3"/>
  <c r="L35" i="3"/>
  <c r="L58" i="3"/>
  <c r="L54" i="3"/>
  <c r="L50" i="3"/>
  <c r="L46" i="3"/>
  <c r="L59" i="3"/>
  <c r="L55" i="3"/>
  <c r="L51" i="3"/>
  <c r="L47" i="3"/>
  <c r="L41" i="3"/>
  <c r="L37" i="3"/>
  <c r="L42" i="3"/>
  <c r="L38" i="3"/>
  <c r="L34" i="3"/>
  <c r="O87" i="3"/>
  <c r="P59" i="3"/>
  <c r="P37" i="3"/>
  <c r="P57" i="3"/>
  <c r="P38" i="3"/>
  <c r="P54" i="3"/>
  <c r="P42" i="3"/>
  <c r="P51" i="3"/>
  <c r="P40" i="3"/>
  <c r="P56" i="3"/>
  <c r="P36" i="3"/>
  <c r="P53" i="3"/>
  <c r="P43" i="3"/>
  <c r="P49" i="3"/>
  <c r="P41" i="3"/>
  <c r="P58" i="3"/>
  <c r="P48" i="3"/>
  <c r="P35" i="3"/>
  <c r="P52" i="3"/>
  <c r="P39" i="3"/>
  <c r="P33" i="3" s="1"/>
  <c r="P55" i="3"/>
  <c r="P47" i="3"/>
  <c r="P45" i="3" s="1"/>
  <c r="P50" i="3"/>
  <c r="P60" i="3"/>
  <c r="P67" i="3"/>
  <c r="P72" i="3"/>
  <c r="P63" i="3"/>
  <c r="P62" i="3" l="1"/>
  <c r="P86" i="3" s="1"/>
  <c r="L45" i="3"/>
  <c r="Q75" i="3"/>
  <c r="Q77" i="3"/>
  <c r="Q79" i="3"/>
  <c r="Q81" i="3"/>
  <c r="Q76" i="3"/>
  <c r="Q80" i="3"/>
  <c r="Q78" i="3"/>
  <c r="Q84" i="3"/>
  <c r="Q59" i="3"/>
  <c r="Q60" i="3"/>
  <c r="Q38" i="3"/>
  <c r="Q52" i="3"/>
  <c r="Q37" i="3"/>
  <c r="Q51" i="3"/>
  <c r="Q42" i="3"/>
  <c r="Q57" i="3"/>
  <c r="Q58" i="3"/>
  <c r="Q39" i="3"/>
  <c r="Q53" i="3"/>
  <c r="Q55" i="3"/>
  <c r="Q56" i="3"/>
  <c r="Q47" i="3"/>
  <c r="Q41" i="3"/>
  <c r="Q48" i="3"/>
  <c r="Q35" i="3"/>
  <c r="Q43" i="3"/>
  <c r="Q40" i="3"/>
  <c r="Q36" i="3"/>
  <c r="Q49" i="3"/>
  <c r="Q50" i="3"/>
  <c r="Q54" i="3"/>
  <c r="Q46" i="3"/>
  <c r="Q67" i="3"/>
  <c r="Q72" i="3"/>
  <c r="Q71" i="3"/>
  <c r="Q66" i="3"/>
  <c r="Q63" i="3"/>
  <c r="Q34" i="3"/>
  <c r="Q64" i="3"/>
  <c r="Q65" i="3"/>
  <c r="Q68" i="3"/>
  <c r="Q70" i="3"/>
  <c r="Q69" i="3"/>
  <c r="L33" i="3"/>
  <c r="L86" i="3" s="1"/>
  <c r="Q45" i="3" l="1"/>
  <c r="Q33" i="3"/>
  <c r="Q62" i="3"/>
  <c r="Q74" i="3"/>
  <c r="Q87"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tc={ee5ae8de-05b2-4d43-adec-16bec33585e5}</author>
    <author>tc={c5955d61-2840-4259-950c-4d9d15c4b677}</author>
    <author>tc={5249755c-9809-4634-8e1a-6bd3e62596fb}</author>
    <author>tc={e50846af-ac67-4966-8811-2b984d4fd0b4}</author>
    <author>tc={41d6a0ee-739c-4c0f-a254-28fe3fd4ed22}</author>
    <author>tc={2648388b-98d0-45c9-8a8b-b40091750b00}</author>
    <author>tc={191fedcb-5729-4d7f-ae38-bc45725a8e7e}</author>
    <author>tc={e0af1540-cd40-452b-a461-64cfb233a975}</author>
    <author>tc={59adae3c-1b69-441a-b645-81b51aa680c3}</author>
    <author>tc={2aedef9e-d8fb-4093-af2c-c533088b5b84}</author>
    <author>tc={068ab1b0-537d-404f-98ad-0dc3551e6a32}</author>
  </authors>
  <commentList>
    <comment ref="H5" authorId="0" shapeId="0" xr:uid="{EE5AE8DE-05B2-4D43-ADEC-16BEC33585E5}">
      <text>
        <r>
          <rPr>
            <sz val="11"/>
            <color theme="1"/>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This is where you will input the information about your convertible instruments. This cap table only has functionality to include two different sets of terms, so if you have convertible instruments with 3 or more different sets of terms, the conversion of those will have to be calculated separately. 
Convertible instruments that have the same terms will have their amounts aggregated in this section (depending on whether you select 'Con Inst 1' or 'Con Inst 2' in the column underneath C56).
</t>
        </r>
      </text>
    </comment>
    <comment ref="B15" authorId="1" shapeId="0" xr:uid="{C5955D61-2840-4259-950C-4D9D15C4B677}">
      <text>
        <r>
          <rPr>
            <sz val="11"/>
            <color theme="1"/>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This is the Company’s pre-money valuation as agreed with the incoming equity investors.
</t>
        </r>
      </text>
    </comment>
    <comment ref="B19" authorId="2" shapeId="0" xr:uid="{5249755C-9809-4634-8E1A-6BD3E62596FB}">
      <text>
        <r>
          <rPr>
            <sz val="11"/>
            <color theme="1"/>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These conversion methodologies affect how you calculate the conversion price of the Convertible Instruments (and therefore the number of shares the Convertible Instrument holders will receive). 
Pre-money
If you use this method, the conversion price of the Convertible Instruments is based on a fixed pre-money valuation (being the “Pre-money agreed valuation” set out above). The full converted value of the Convertible Instruments is accounted for in the deemed post-money valuation, leading to greater dilution for new investors. This is the approach you would likely use if your Convertible Instrument is converting using the Valuation Cap as you do not want the Valuation Cap to be reduced by the alternative methodologies – it should be a simple calculation of Valuation Cap (as defined in the SAFE/Con note) divided by the pre-completion share capital.
Post-money
If you use this method, the conversion price of the Convertible Instruments is based on a fixed post-money valuation (to reflect that incoming investors are investing on the basis that they will own a certain percentage of the Company after the raise is complete). This means that the deemed pre-money valuation is reduced by the full converted value of the Convertible Instruments, leading to greater dilution for founders. This is the approach you would likely use if your Convertible Instrument is converting using the Discount and your investors are VCs. The incoming investors generally want the calculation of their share price (which affects the discounted conversion price) to be on a ‘fully diluted basis’, and as such that the pre-money is reduced by the full converted value of the Convertible Instruments i.e. the value of the Convertible Instruments is “shuffled” to the pre-money so that existing shareholders take the dilution for the conversions rather than the investors.
Dollars-invested
If you use this method, the value of the Convertible Instruments is spread across the deemed pre-money and post-money valuations (so the dilution is shared by founders and new investors). The deemed post-money valuation includes the actual amount invested under the Convertible Instruments, while the difference between the converted value and the actual amount invested under the Convertible Instruments is deducted from the deemed pre-money valuation.
</t>
        </r>
      </text>
    </comment>
    <comment ref="B20" authorId="3" shapeId="0" xr:uid="{E50846AF-AC67-4966-8811-2B984D4FD0B4}">
      <text>
        <r>
          <rPr>
            <sz val="11"/>
            <color theme="1"/>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The spreadsheet calculates the conversion price of the Convertible Instruments by adjusting the post-money valuation of the Company depending on the selected conversion methodology and the outcome it’s seeking to achieve.
This deemed post-money valuation is simply an interim step to assist with calculating the conversion price of the Convertible Instruments, and will not necessarily be the same amount the post-money valuation of the Company which has been agreed with the incoming equity investors.
</t>
        </r>
      </text>
    </comment>
    <comment ref="F20" authorId="4" shapeId="0" xr:uid="{41D6A0EE-739C-4C0F-A254-28FE3FD4ED22}">
      <text>
        <r>
          <rPr>
            <sz val="11"/>
            <color theme="1"/>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This is the converted value of the Convertible Instruments by reference to the discount rate. For example, if the amount invested was $500,000 and the Investor gets to convert this at a 50% discount, then they are effectively getting $1,000,000 of converted value from the Convertible Instrument.
</t>
        </r>
      </text>
    </comment>
    <comment ref="B21" authorId="5" shapeId="0" xr:uid="{2648388B-98D0-45C9-8A8B-B40091750B00}">
      <text>
        <r>
          <rPr>
            <sz val="11"/>
            <color theme="1"/>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 order to calculate the conversion price of the Convertible Instruments, the pre-money valuation of the Company is adjusted depending on the selected conversion methodology and the outcome it’s seeking to achieve.
This deemed pre-money valuation is simply an interim step to assist with calculating the conversion price of the Convertible Instruments, and will not necessarily be the same amount as the pre-money valuation which has been agreed with the incoming equity investors.
</t>
        </r>
      </text>
    </comment>
    <comment ref="F21" authorId="6" shapeId="0" xr:uid="{191FEDCB-5729-4D7F-AE38-BC45725A8E7E}">
      <text>
        <r>
          <rPr>
            <sz val="11"/>
            <color theme="1"/>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This is the converted value of the Convertible Instruments by reference to the Valuation Cap. For example, if there’s a Valuation Cap of $4 but the agreed pre-money is $5M, the company is worth 25% more than the Valuation Cap of $4M. This means that the investor is getting 25% more value from the conversion of the Convertible Instrument using the Valuation Cap. For example, for a $500,000 investment, the investor is actually getting $625,000 of converted value from the Convertible Instrument.
</t>
        </r>
      </text>
    </comment>
    <comment ref="F22" authorId="7" shapeId="0" xr:uid="{E0AF1540-CD40-452B-A461-64CFB233A975}">
      <text>
        <r>
          <rPr>
            <sz val="11"/>
            <color theme="1"/>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This states whether the conversion price of the Convertible Instruments is determined by reference to the discount rate or the Valuation Cap. If your Convertible Instrument has both options, then whichever yields the lower conversion price will automatically apply.
</t>
        </r>
      </text>
    </comment>
    <comment ref="B23" authorId="8" shapeId="0" xr:uid="{59ADAE3C-1B69-441A-B645-81B51AA680C3}">
      <text>
        <r>
          <rPr>
            <sz val="11"/>
            <color theme="1"/>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 the “Post inv ESOP (%)” section, you will have included the agreed post money ESOP pool percentage. In this section, you can select whether the percentage you input includes current options which have been granted, or whether it just reflects the additional increase to the post-raise ESOP (ie the unallocated option pool). Usually VCs  will expect the post investment ESOP pool to reflect the unallocated options only.
</t>
        </r>
      </text>
    </comment>
    <comment ref="F23" authorId="9" shapeId="0" xr:uid="{2AEDEF9E-D8FB-4093-AF2C-C533088B5B84}">
      <text>
        <r>
          <rPr>
            <sz val="11"/>
            <color theme="1"/>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This is the converted value of the Convertible Instruments which actually applies to calculate the conversion price of the Convertible Instruments, depending on whether the discount or valuation cap applies.
</t>
        </r>
      </text>
    </comment>
    <comment ref="B25" authorId="10" shapeId="0" xr:uid="{068AB1B0-537D-404F-98AD-0DC3551E6A32}">
      <text>
        <r>
          <rPr>
            <sz val="11"/>
            <color theme="1"/>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 order to calculate the investment price per share for the equity raise, the pre-money valuation is adjusted depending on whether there are Convertible Instruments converting and whether there is a post investment ESOP which has been agreed. This adjustment commonly occurs for the post investment ESOP and is often referred to as the “ESOP shuffle”. The effect is that the value of the Convertible Instruments and the ESOP is “shuffled” and deducted from the agreed pre-money valuation to ensure that founders take the dilution for these, while incoming investors get the stake which they have agreed.
</t>
        </r>
      </text>
    </comment>
  </commentList>
</comments>
</file>

<file path=xl/sharedStrings.xml><?xml version="1.0" encoding="utf-8"?>
<sst xmlns="http://schemas.openxmlformats.org/spreadsheetml/2006/main" count="232" uniqueCount="181">
  <si>
    <t>LegalVision's Pro Forma Capitalisation Table and Model</t>
  </si>
  <si>
    <t>Legend</t>
  </si>
  <si>
    <t>Input</t>
  </si>
  <si>
    <t>Calculation</t>
  </si>
  <si>
    <t>Total</t>
  </si>
  <si>
    <t>Contents</t>
  </si>
  <si>
    <t>Instructions</t>
  </si>
  <si>
    <t>Explanation of how to use this spreadsheet.</t>
  </si>
  <si>
    <t>Capitalisation Table</t>
  </si>
  <si>
    <t>Complete list of shareholders and model to evaluate impact of a simple future funding round.</t>
  </si>
  <si>
    <t>Find out more</t>
  </si>
  <si>
    <t>For more information, please contact LegalVision</t>
  </si>
  <si>
    <t>p</t>
  </si>
  <si>
    <t>1300 544 755</t>
  </si>
  <si>
    <t>w</t>
  </si>
  <si>
    <t>www.legalvision.com.au</t>
  </si>
  <si>
    <t>e</t>
  </si>
  <si>
    <t>captable@legalvision.com.au</t>
  </si>
  <si>
    <t>a</t>
  </si>
  <si>
    <t>100 Harris Street, Pyrmont NSW 2009</t>
  </si>
  <si>
    <t>Disclaimer:</t>
  </si>
  <si>
    <t>This is a pro-forma generic spreadsheet and you should not rely on it for making any decisions.</t>
  </si>
  <si>
    <t>You should seek legal, financial and other professional advice regarding your individual situation.</t>
  </si>
  <si>
    <t>Please note that every company is different and you should consider carefuly whether this model is appropriate for you.</t>
  </si>
  <si>
    <t>In particular, the terms of any non-ordinary shares or notes are likely not to match the plain vanilla ones modelled exactly (and may have vastly different characteristics).</t>
  </si>
  <si>
    <t>What is a Capitalisation Table?</t>
  </si>
  <si>
    <t>A capitalisation table, or cap table, is a spreadsheet that sets out who owns shares (or rights to shares) in a company.</t>
  </si>
  <si>
    <t>It is a complete record of the founders' and investors' share and option holdings and any convertible instruments.</t>
  </si>
  <si>
    <r>
      <rPr>
        <sz val="12"/>
        <color rgb="FF000000"/>
        <rFont val="Calibri"/>
      </rPr>
      <t>This spreadsheet includes a model for calculating the impact on your company and shareholders of raising new capital</t>
    </r>
    <r>
      <rPr>
        <sz val="12"/>
        <color rgb="FF000000"/>
        <rFont val="Calibri"/>
      </rPr>
      <t>.</t>
    </r>
  </si>
  <si>
    <t>How to Use This Spreadsheet</t>
  </si>
  <si>
    <t>Description:</t>
  </si>
  <si>
    <t>The Capitalisation Table tab is a complete list of shareholders and their holdings, before and after a capital raising round.</t>
  </si>
  <si>
    <t>Glossary:</t>
  </si>
  <si>
    <t>To assist you in using this cap table, there explanations throughout for certain terms. If you hover over the cells with red triangles, there are comments which explain the relevant term.</t>
  </si>
  <si>
    <t>Help:</t>
  </si>
  <si>
    <t>There are many articles on our website on this and related issues that may give you additional insight. Go to www.legalvision.com.au.</t>
  </si>
  <si>
    <t>If you have any questions or suggestions please email us at captable@legalvision.com.au.</t>
  </si>
  <si>
    <t>WINAY - LAEF HEALTH AND WELLNESS RESORT GROUP</t>
  </si>
  <si>
    <t>Inputs</t>
  </si>
  <si>
    <t>Company Name In Australia</t>
  </si>
  <si>
    <t>PMG  Pty Ltd</t>
  </si>
  <si>
    <t>Haycar Investments  Pty Ltd</t>
  </si>
  <si>
    <t>Company Name In Abu Dhabi</t>
  </si>
  <si>
    <t>PMG JV HAYCAR TECH  Pty Ltd</t>
  </si>
  <si>
    <t>Company Name In Vanuatu</t>
  </si>
  <si>
    <t>PMG &amp; Haycar Global</t>
  </si>
  <si>
    <t>Laef Health &amp; Wellness Resort Group</t>
  </si>
  <si>
    <t>Company Name In Peru</t>
  </si>
  <si>
    <t>Haycar Global PE</t>
  </si>
  <si>
    <t>Winay Wasi Health &amp; Wellness Resort Group</t>
  </si>
  <si>
    <t>Convertible Instruments</t>
  </si>
  <si>
    <t>Con Inst 1</t>
  </si>
  <si>
    <t>Con Inst 2</t>
  </si>
  <si>
    <t>Interest rate</t>
  </si>
  <si>
    <t xml:space="preserve">Pre-money agreed valuation </t>
  </si>
  <si>
    <t>Discount</t>
  </si>
  <si>
    <t>New money</t>
  </si>
  <si>
    <t>Valuation Cap</t>
  </si>
  <si>
    <t>Con inst 1 value</t>
  </si>
  <si>
    <t>Date issued</t>
  </si>
  <si>
    <t>Con inst 2 value</t>
  </si>
  <si>
    <t>Total invested</t>
  </si>
  <si>
    <t>Con inst conversion method</t>
  </si>
  <si>
    <t>Post-money</t>
  </si>
  <si>
    <t>With acc. interest</t>
  </si>
  <si>
    <t>Deemed post-money (assuming  con inst)</t>
  </si>
  <si>
    <t>Using discount</t>
  </si>
  <si>
    <t>Deemed pre-money (assuming con inst)</t>
  </si>
  <si>
    <t>Using cap</t>
  </si>
  <si>
    <t>Post investment ESOP (%)</t>
  </si>
  <si>
    <t>Discount or cap</t>
  </si>
  <si>
    <t>Post inv ESOP % additional or inclusive</t>
  </si>
  <si>
    <t>% additional</t>
  </si>
  <si>
    <t>Conv value</t>
  </si>
  <si>
    <t>Post investment ESOP (number)</t>
  </si>
  <si>
    <t>Issue price used</t>
  </si>
  <si>
    <t>Deemed pre-money (assuming con inst &amp; ESOP)</t>
  </si>
  <si>
    <t>Conv price</t>
  </si>
  <si>
    <t>Investment price per share</t>
  </si>
  <si>
    <t>Conv shares</t>
  </si>
  <si>
    <t>Investment date</t>
  </si>
  <si>
    <t>Current members, option and note holders</t>
  </si>
  <si>
    <t>Investments</t>
  </si>
  <si>
    <t>Post-investment</t>
  </si>
  <si>
    <t>Shareholder</t>
  </si>
  <si>
    <t>Class</t>
  </si>
  <si>
    <t>Number of shares (#) and
inst value ($)</t>
  </si>
  <si>
    <t>Holding (undiluted)</t>
  </si>
  <si>
    <t>Holding (diluted)</t>
  </si>
  <si>
    <t>Pre-money value ($)</t>
  </si>
  <si>
    <t>Notional
Investment ($)</t>
  </si>
  <si>
    <t>Number (#)</t>
  </si>
  <si>
    <t>%age of this investment round</t>
  </si>
  <si>
    <t>Post-money val/
Actual
investment ($)</t>
  </si>
  <si>
    <t>Number of shares (#)</t>
  </si>
  <si>
    <t>Holding (fully diluted)</t>
  </si>
  <si>
    <t>Current shareholders</t>
  </si>
  <si>
    <t>Shareholder #1</t>
  </si>
  <si>
    <t>Ordinary (ORD)</t>
  </si>
  <si>
    <t>Shareholder #2</t>
  </si>
  <si>
    <t>Shareholder #3</t>
  </si>
  <si>
    <t>Shareholder #4</t>
  </si>
  <si>
    <t>Shareholder #5</t>
  </si>
  <si>
    <t>Shareholder #6</t>
  </si>
  <si>
    <t>Shareholder #7</t>
  </si>
  <si>
    <t>Shareholder #8</t>
  </si>
  <si>
    <t>Shareholder #9</t>
  </si>
  <si>
    <t>Shareholder #10</t>
  </si>
  <si>
    <t>New shareholders</t>
  </si>
  <si>
    <t>Investor #1</t>
  </si>
  <si>
    <t>Seed Preference (SPRF)</t>
  </si>
  <si>
    <t>Investor #2</t>
  </si>
  <si>
    <t>Investor #3</t>
  </si>
  <si>
    <t>Investor #4</t>
  </si>
  <si>
    <t>Investor #5</t>
  </si>
  <si>
    <t>Investor #6</t>
  </si>
  <si>
    <t>Investor #7</t>
  </si>
  <si>
    <t>Investor #8</t>
  </si>
  <si>
    <t>Investor #9</t>
  </si>
  <si>
    <t>Investor #10</t>
  </si>
  <si>
    <t>Investor #11</t>
  </si>
  <si>
    <t>Investor #12</t>
  </si>
  <si>
    <t>Investor #13</t>
  </si>
  <si>
    <t>Investor #14</t>
  </si>
  <si>
    <t>Investor #15</t>
  </si>
  <si>
    <t>Issue</t>
  </si>
  <si>
    <t>Con Inst holder #1</t>
  </si>
  <si>
    <t>Con Inst holder #2</t>
  </si>
  <si>
    <t>Con Inst holder #3</t>
  </si>
  <si>
    <t>Con Inst holder #4</t>
  </si>
  <si>
    <t>Con Inst holder #5</t>
  </si>
  <si>
    <t>Con Inst holder #6</t>
  </si>
  <si>
    <t>Con Inst holder #7</t>
  </si>
  <si>
    <t>Con Inst holder #8</t>
  </si>
  <si>
    <t>Con Inst holder #9</t>
  </si>
  <si>
    <t>Con Inst holder #10</t>
  </si>
  <si>
    <t>Options (granted pre-raise)</t>
  </si>
  <si>
    <t>Option holder #1</t>
  </si>
  <si>
    <t>Option (ORD)</t>
  </si>
  <si>
    <t>Option holder #2</t>
  </si>
  <si>
    <t>Option holder #3</t>
  </si>
  <si>
    <t>Option holder #4</t>
  </si>
  <si>
    <t>Option holder #5</t>
  </si>
  <si>
    <t>Option holder #6</t>
  </si>
  <si>
    <t>Option holder #7</t>
  </si>
  <si>
    <t>Post-raise ESOP</t>
  </si>
  <si>
    <t>Employee Share Option Plan Pool</t>
  </si>
  <si>
    <t>Total (undiluted)</t>
  </si>
  <si>
    <t>Total (diluted)</t>
  </si>
  <si>
    <t>Share class code</t>
  </si>
  <si>
    <t>This list could be made to match that available on ASIC form 484 and thus on ASIC searches.</t>
  </si>
  <si>
    <t>http://asic.gov.au/for-business/running-a-company/shares/</t>
  </si>
  <si>
    <t>However, note that it is possible to enter one's own code on Form 484 so others may appear in practice (the code had no impact on the calcuations).</t>
  </si>
  <si>
    <t>Full title</t>
  </si>
  <si>
    <t>List name</t>
  </si>
  <si>
    <t>SPRF</t>
  </si>
  <si>
    <t>Seed Preference</t>
  </si>
  <si>
    <t>ORD</t>
  </si>
  <si>
    <t>Ordinary</t>
  </si>
  <si>
    <t>APRF</t>
  </si>
  <si>
    <t>Series A Preference</t>
  </si>
  <si>
    <t>BPRF</t>
  </si>
  <si>
    <t>Series B Preference</t>
  </si>
  <si>
    <t>CPRF</t>
  </si>
  <si>
    <t>Series C Preference</t>
  </si>
  <si>
    <t>Yes/No</t>
  </si>
  <si>
    <t>Yes</t>
  </si>
  <si>
    <t>No</t>
  </si>
  <si>
    <t>Convertible Note Conversion Methods</t>
  </si>
  <si>
    <t>Pre-money</t>
  </si>
  <si>
    <t>Dollars-invested</t>
  </si>
  <si>
    <t>Convertible Note interim calculations</t>
  </si>
  <si>
    <t>Calculations if convertible note converts as part of the raise ("Included")</t>
  </si>
  <si>
    <t>Cap/discount combination</t>
  </si>
  <si>
    <t>NewProp</t>
  </si>
  <si>
    <t>(1) Both notes convert at their respective discount</t>
  </si>
  <si>
    <t>(2) Both notes convert under their respective cap</t>
  </si>
  <si>
    <t>(3) C1 converts at its discount, C2 under its cap</t>
  </si>
  <si>
    <t>(4) C2 converts at its discount, C1 under its cap</t>
  </si>
  <si>
    <t>Post-money ESOP shares (ESOP% on top of existing options)</t>
  </si>
  <si>
    <t>Post-money ESOP shares (ESOP% includes existing options)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</si>
</sst>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quot;$&quot;* #,##0.00_-;\-&quot;$&quot;* #,##0.00_-;_-&quot;$&quot;* &quot;-&quot;??.00_-;_-@"/>
    <numFmt numFmtId="165" formatCode="0.0%"/>
    <numFmt numFmtId="166" formatCode="_-&quot;$&quot;* #,##0_-;\-&quot;$&quot;* #,##0_-;_-&quot;$&quot;* &quot;-&quot;??_-;_-@"/>
    <numFmt numFmtId="167" formatCode="dd/mm/yyyy"/>
    <numFmt numFmtId="168" formatCode="_-* #,##0_-;\-* #,##0_-;_-* &quot;-&quot;??_-;_-@"/>
    <numFmt numFmtId="169" formatCode="_-&quot;$&quot;* #,##0.000000_-;\-&quot;$&quot;* #,##0.000000_-;_-&quot;$&quot;* &quot;-&quot;??.0_-;_-@"/>
    <numFmt numFmtId="170" formatCode="_-&quot;$&quot;* #,##0.00_-;\-&quot;$&quot;* #,##0.00_-;_-&quot;$&quot;* &quot;-&quot;??_-;_-@"/>
  </numFmts>
  <fonts count="21">
    <font>
      <sz val="11"/>
      <color theme="1"/>
      <name val="Arial"/>
      <scheme val="minor"/>
    </font>
    <font>
      <sz val="11"/>
      <color theme="1"/>
      <name val="Calibri"/>
    </font>
    <font>
      <b/>
      <sz val="20"/>
      <color theme="1"/>
      <name val="Calibri"/>
    </font>
    <font>
      <b/>
      <sz val="16"/>
      <color theme="1"/>
      <name val="Calibri"/>
    </font>
    <font>
      <b/>
      <sz val="12"/>
      <color theme="1"/>
      <name val="Calibri"/>
    </font>
    <font>
      <sz val="12"/>
      <color theme="1"/>
      <name val="Calibri"/>
    </font>
    <font>
      <sz val="12"/>
      <color theme="4"/>
      <name val="Calibri"/>
    </font>
    <font>
      <b/>
      <i/>
      <sz val="12"/>
      <color theme="1"/>
      <name val="Calibri"/>
    </font>
    <font>
      <u/>
      <sz val="11"/>
      <color theme="10"/>
      <name val="Calibri"/>
    </font>
    <font>
      <sz val="12"/>
      <color rgb="FF000000"/>
      <name val="Calibri"/>
    </font>
    <font>
      <i/>
      <sz val="11"/>
      <color theme="1"/>
      <name val="Calibri"/>
    </font>
    <font>
      <i/>
      <sz val="12"/>
      <color theme="1"/>
      <name val="Calibri"/>
    </font>
    <font>
      <sz val="25"/>
      <color theme="1"/>
      <name val="Lexend"/>
    </font>
    <font>
      <sz val="11"/>
      <name val="Arial"/>
    </font>
    <font>
      <b/>
      <sz val="11"/>
      <color rgb="FF000000"/>
      <name val="Calibri"/>
    </font>
    <font>
      <sz val="11"/>
      <color rgb="FF4F81BD"/>
      <name val="Calibri"/>
    </font>
    <font>
      <sz val="11"/>
      <color theme="4"/>
      <name val="Calibri"/>
    </font>
    <font>
      <b/>
      <sz val="11"/>
      <color theme="1"/>
      <name val="Calibri"/>
    </font>
    <font>
      <b/>
      <sz val="11"/>
      <color rgb="FFFF0000"/>
      <name val="Calibri"/>
    </font>
    <font>
      <b/>
      <sz val="14"/>
      <color theme="1"/>
      <name val="Calibri"/>
    </font>
    <font>
      <u/>
      <sz val="11"/>
      <color theme="10"/>
      <name val="Arial"/>
    </font>
  </fonts>
  <fills count="11">
    <fill>
      <patternFill patternType="none"/>
    </fill>
    <fill>
      <patternFill patternType="gray125"/>
    </fill>
    <fill>
      <patternFill patternType="solid">
        <fgColor rgb="FFED7D31"/>
        <bgColor rgb="FFED7D31"/>
      </patternFill>
    </fill>
    <fill>
      <patternFill patternType="solid">
        <fgColor rgb="FFFABF8F"/>
        <bgColor rgb="FFFABF8F"/>
      </patternFill>
    </fill>
    <fill>
      <patternFill patternType="solid">
        <fgColor rgb="FFFFFFCC"/>
        <bgColor rgb="FFFFFFCC"/>
      </patternFill>
    </fill>
    <fill>
      <patternFill patternType="solid">
        <fgColor rgb="FFEAF1DD"/>
        <bgColor rgb="FFEAF1DD"/>
      </patternFill>
    </fill>
    <fill>
      <patternFill patternType="solid">
        <fgColor rgb="FFFBD4B4"/>
        <bgColor rgb="FFFBD4B4"/>
      </patternFill>
    </fill>
    <fill>
      <patternFill patternType="solid">
        <fgColor theme="0"/>
        <bgColor theme="0"/>
      </patternFill>
    </fill>
    <fill>
      <patternFill patternType="solid">
        <fgColor rgb="FFD8D8D8"/>
        <bgColor rgb="FFD8D8D8"/>
      </patternFill>
    </fill>
    <fill>
      <patternFill patternType="solid">
        <fgColor rgb="FFF2F2F2"/>
        <bgColor rgb="FFF2F2F2"/>
      </patternFill>
    </fill>
    <fill>
      <patternFill patternType="solid">
        <fgColor rgb="FFFDE9D9"/>
        <bgColor rgb="FFFDE9D9"/>
      </patternFill>
    </fill>
  </fills>
  <borders count="14">
    <border>
      <left/>
      <right/>
      <top/>
      <bottom/>
      <diagonal/>
    </border>
    <border>
      <left/>
      <right/>
      <top/>
      <bottom/>
      <diagonal/>
    </border>
    <border>
      <left/>
      <right/>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100">
    <xf numFmtId="0" fontId="0" fillId="0" borderId="0" xfId="0"/>
    <xf numFmtId="0" fontId="1" fillId="2" borderId="1" xfId="0" applyFont="1" applyFill="1" applyBorder="1"/>
    <xf numFmtId="0" fontId="1" fillId="0" borderId="0" xfId="0" applyFont="1"/>
    <xf numFmtId="0" fontId="2" fillId="3" borderId="1" xfId="0" applyFont="1" applyFill="1" applyBorder="1" applyAlignment="1">
      <alignment horizontal="left"/>
    </xf>
    <xf numFmtId="0" fontId="3" fillId="3" borderId="1" xfId="0" applyFont="1" applyFill="1" applyBorder="1" applyAlignment="1">
      <alignment horizontal="left"/>
    </xf>
    <xf numFmtId="0" fontId="4" fillId="0" borderId="2" xfId="0" applyFont="1" applyBorder="1"/>
    <xf numFmtId="0" fontId="5" fillId="0" borderId="0" xfId="0" applyFont="1"/>
    <xf numFmtId="0" fontId="4" fillId="0" borderId="0" xfId="0" applyFont="1"/>
    <xf numFmtId="0" fontId="6" fillId="4" borderId="1" xfId="0" applyFont="1" applyFill="1" applyBorder="1"/>
    <xf numFmtId="0" fontId="4" fillId="5" borderId="1" xfId="0" applyFont="1" applyFill="1" applyBorder="1"/>
    <xf numFmtId="0" fontId="4" fillId="6" borderId="1" xfId="0" applyFont="1" applyFill="1" applyBorder="1" applyAlignment="1">
      <alignment horizontal="left"/>
    </xf>
    <xf numFmtId="0" fontId="5" fillId="6" borderId="1" xfId="0" applyFont="1" applyFill="1" applyBorder="1"/>
    <xf numFmtId="0" fontId="7" fillId="0" borderId="0" xfId="0" applyFont="1" applyAlignment="1">
      <alignment horizontal="left"/>
    </xf>
    <xf numFmtId="0" fontId="4" fillId="0" borderId="0" xfId="0" applyFont="1" applyAlignment="1">
      <alignment horizontal="center"/>
    </xf>
    <xf numFmtId="0" fontId="8" fillId="0" borderId="0" xfId="0" applyFont="1"/>
    <xf numFmtId="0" fontId="3" fillId="0" borderId="0" xfId="0" applyFont="1" applyAlignment="1">
      <alignment horizontal="left"/>
    </xf>
    <xf numFmtId="0" fontId="9" fillId="0" borderId="0" xfId="0" applyFont="1" applyAlignment="1">
      <alignment horizontal="left"/>
    </xf>
    <xf numFmtId="0" fontId="10" fillId="0" borderId="0" xfId="0" applyFont="1"/>
    <xf numFmtId="0" fontId="11" fillId="0" borderId="0" xfId="0" applyFont="1"/>
    <xf numFmtId="0" fontId="5" fillId="0" borderId="0" xfId="0" applyFont="1" applyAlignment="1">
      <alignment horizontal="left"/>
    </xf>
    <xf numFmtId="0" fontId="5" fillId="0" borderId="0" xfId="0" applyFont="1" applyAlignment="1">
      <alignment horizontal="left" vertical="top"/>
    </xf>
    <xf numFmtId="164" fontId="1" fillId="2" borderId="1" xfId="0" applyNumberFormat="1" applyFont="1" applyFill="1" applyBorder="1"/>
    <xf numFmtId="164" fontId="1" fillId="0" borderId="0" xfId="0" applyNumberFormat="1" applyFont="1"/>
    <xf numFmtId="0" fontId="3" fillId="3" borderId="1" xfId="0" applyFont="1" applyFill="1" applyBorder="1" applyAlignment="1">
      <alignment horizontal="center"/>
    </xf>
    <xf numFmtId="0" fontId="14" fillId="0" borderId="0" xfId="0" applyFont="1"/>
    <xf numFmtId="49" fontId="15" fillId="4" borderId="1" xfId="0" applyNumberFormat="1" applyFont="1" applyFill="1" applyBorder="1" applyAlignment="1">
      <alignment horizontal="right"/>
    </xf>
    <xf numFmtId="0" fontId="3" fillId="0" borderId="0" xfId="0" applyFont="1" applyAlignment="1">
      <alignment horizontal="center"/>
    </xf>
    <xf numFmtId="49" fontId="15" fillId="4" borderId="1" xfId="0" applyNumberFormat="1" applyFont="1" applyFill="1" applyBorder="1" applyAlignment="1">
      <alignment horizontal="right" wrapText="1"/>
    </xf>
    <xf numFmtId="49" fontId="16" fillId="4" borderId="1" xfId="0" applyNumberFormat="1" applyFont="1" applyFill="1" applyBorder="1" applyAlignment="1">
      <alignment horizontal="right"/>
    </xf>
    <xf numFmtId="0" fontId="17" fillId="0" borderId="0" xfId="0" applyFont="1" applyAlignment="1">
      <alignment horizontal="right"/>
    </xf>
    <xf numFmtId="0" fontId="17" fillId="0" borderId="0" xfId="0" applyFont="1"/>
    <xf numFmtId="0" fontId="14" fillId="0" borderId="0" xfId="0" applyFont="1" applyAlignment="1">
      <alignment horizontal="left"/>
    </xf>
    <xf numFmtId="165" fontId="15" fillId="4" borderId="1" xfId="0" applyNumberFormat="1" applyFont="1" applyFill="1" applyBorder="1" applyAlignment="1">
      <alignment horizontal="right"/>
    </xf>
    <xf numFmtId="0" fontId="17" fillId="7" borderId="1" xfId="0" applyFont="1" applyFill="1" applyBorder="1"/>
    <xf numFmtId="166" fontId="15" fillId="4" borderId="1" xfId="0" applyNumberFormat="1" applyFont="1" applyFill="1" applyBorder="1"/>
    <xf numFmtId="0" fontId="17" fillId="0" borderId="0" xfId="0" applyFont="1" applyAlignment="1">
      <alignment horizontal="left"/>
    </xf>
    <xf numFmtId="0" fontId="1" fillId="7" borderId="1" xfId="0" applyFont="1" applyFill="1" applyBorder="1"/>
    <xf numFmtId="166" fontId="1" fillId="0" borderId="0" xfId="0" applyNumberFormat="1" applyFont="1"/>
    <xf numFmtId="166" fontId="15" fillId="4" borderId="1" xfId="0" applyNumberFormat="1" applyFont="1" applyFill="1" applyBorder="1" applyAlignment="1">
      <alignment horizontal="right"/>
    </xf>
    <xf numFmtId="167" fontId="15" fillId="4" borderId="1" xfId="0" applyNumberFormat="1" applyFont="1" applyFill="1" applyBorder="1" applyAlignment="1">
      <alignment horizontal="right"/>
    </xf>
    <xf numFmtId="167" fontId="16" fillId="4" borderId="1" xfId="0" applyNumberFormat="1" applyFont="1" applyFill="1" applyBorder="1" applyAlignment="1">
      <alignment horizontal="right"/>
    </xf>
    <xf numFmtId="166" fontId="1" fillId="0" borderId="0" xfId="0" applyNumberFormat="1" applyFont="1" applyAlignment="1">
      <alignment horizontal="right"/>
    </xf>
    <xf numFmtId="166" fontId="15" fillId="4" borderId="1" xfId="0" applyNumberFormat="1" applyFont="1" applyFill="1" applyBorder="1" applyAlignment="1">
      <alignment horizontal="center"/>
    </xf>
    <xf numFmtId="165" fontId="15" fillId="4" borderId="1" xfId="0" applyNumberFormat="1" applyFont="1" applyFill="1" applyBorder="1"/>
    <xf numFmtId="0" fontId="18" fillId="0" borderId="0" xfId="0" applyFont="1"/>
    <xf numFmtId="168" fontId="1" fillId="0" borderId="0" xfId="0" applyNumberFormat="1" applyFont="1"/>
    <xf numFmtId="169" fontId="1" fillId="0" borderId="0" xfId="0" applyNumberFormat="1" applyFont="1"/>
    <xf numFmtId="0" fontId="1" fillId="3" borderId="1" xfId="0" applyFont="1" applyFill="1" applyBorder="1"/>
    <xf numFmtId="164" fontId="1" fillId="3" borderId="1" xfId="0" applyNumberFormat="1" applyFont="1" applyFill="1" applyBorder="1"/>
    <xf numFmtId="0" fontId="3" fillId="8" borderId="1" xfId="0" applyFont="1" applyFill="1" applyBorder="1" applyAlignment="1">
      <alignment horizontal="center"/>
    </xf>
    <xf numFmtId="0" fontId="19" fillId="8" borderId="1" xfId="0" applyFont="1" applyFill="1" applyBorder="1" applyAlignment="1">
      <alignment horizontal="center"/>
    </xf>
    <xf numFmtId="168" fontId="17" fillId="9" borderId="1" xfId="0" applyNumberFormat="1" applyFont="1" applyFill="1" applyBorder="1" applyAlignment="1">
      <alignment horizontal="left" vertical="top" wrapText="1"/>
    </xf>
    <xf numFmtId="168" fontId="17" fillId="9" borderId="1" xfId="0" applyNumberFormat="1" applyFont="1" applyFill="1" applyBorder="1" applyAlignment="1">
      <alignment horizontal="right" vertical="top" wrapText="1"/>
    </xf>
    <xf numFmtId="164" fontId="17" fillId="9" borderId="1" xfId="0" applyNumberFormat="1" applyFont="1" applyFill="1" applyBorder="1" applyAlignment="1">
      <alignment horizontal="right" vertical="top" wrapText="1"/>
    </xf>
    <xf numFmtId="168" fontId="17" fillId="0" borderId="0" xfId="0" applyNumberFormat="1" applyFont="1"/>
    <xf numFmtId="10" fontId="17" fillId="0" borderId="0" xfId="0" applyNumberFormat="1" applyFont="1"/>
    <xf numFmtId="166" fontId="17" fillId="0" borderId="0" xfId="0" applyNumberFormat="1" applyFont="1" applyAlignment="1">
      <alignment horizontal="right"/>
    </xf>
    <xf numFmtId="166" fontId="17" fillId="0" borderId="0" xfId="0" applyNumberFormat="1" applyFont="1"/>
    <xf numFmtId="165" fontId="17" fillId="0" borderId="0" xfId="0" applyNumberFormat="1" applyFont="1"/>
    <xf numFmtId="170" fontId="17" fillId="0" borderId="0" xfId="0" applyNumberFormat="1" applyFont="1" applyAlignment="1">
      <alignment horizontal="right"/>
    </xf>
    <xf numFmtId="0" fontId="16" fillId="4" borderId="1" xfId="0" applyFont="1" applyFill="1" applyBorder="1"/>
    <xf numFmtId="0" fontId="16" fillId="4" borderId="1" xfId="0" applyFont="1" applyFill="1" applyBorder="1" applyAlignment="1">
      <alignment horizontal="right"/>
    </xf>
    <xf numFmtId="168" fontId="15" fillId="4" borderId="1" xfId="0" applyNumberFormat="1" applyFont="1" applyFill="1" applyBorder="1"/>
    <xf numFmtId="10" fontId="1" fillId="0" borderId="0" xfId="0" applyNumberFormat="1" applyFont="1"/>
    <xf numFmtId="10" fontId="1" fillId="0" borderId="0" xfId="0" applyNumberFormat="1" applyFont="1" applyAlignment="1">
      <alignment horizontal="right"/>
    </xf>
    <xf numFmtId="166" fontId="16" fillId="4" borderId="1" xfId="0" applyNumberFormat="1" applyFont="1" applyFill="1" applyBorder="1"/>
    <xf numFmtId="165" fontId="1" fillId="0" borderId="0" xfId="0" applyNumberFormat="1" applyFont="1" applyAlignment="1">
      <alignment horizontal="right"/>
    </xf>
    <xf numFmtId="170" fontId="1" fillId="0" borderId="0" xfId="0" applyNumberFormat="1" applyFont="1" applyAlignment="1">
      <alignment horizontal="right"/>
    </xf>
    <xf numFmtId="168" fontId="16" fillId="4" borderId="1" xfId="0" applyNumberFormat="1" applyFont="1" applyFill="1" applyBorder="1"/>
    <xf numFmtId="168" fontId="16" fillId="0" borderId="0" xfId="0" applyNumberFormat="1" applyFont="1"/>
    <xf numFmtId="9" fontId="1" fillId="0" borderId="0" xfId="0" applyNumberFormat="1" applyFont="1" applyAlignment="1">
      <alignment horizontal="right"/>
    </xf>
    <xf numFmtId="166" fontId="16" fillId="0" borderId="0" xfId="0" applyNumberFormat="1" applyFont="1"/>
    <xf numFmtId="168" fontId="15" fillId="4" borderId="1" xfId="0" applyNumberFormat="1" applyFont="1" applyFill="1" applyBorder="1" applyAlignment="1">
      <alignment horizontal="right"/>
    </xf>
    <xf numFmtId="168" fontId="16" fillId="0" borderId="0" xfId="0" applyNumberFormat="1" applyFont="1" applyAlignment="1">
      <alignment horizontal="right"/>
    </xf>
    <xf numFmtId="0" fontId="15" fillId="4" borderId="1" xfId="0" applyFont="1" applyFill="1" applyBorder="1"/>
    <xf numFmtId="164" fontId="1" fillId="0" borderId="0" xfId="0" applyNumberFormat="1" applyFont="1" applyAlignment="1">
      <alignment horizontal="right"/>
    </xf>
    <xf numFmtId="0" fontId="17" fillId="5" borderId="1" xfId="0" applyFont="1" applyFill="1" applyBorder="1"/>
    <xf numFmtId="168" fontId="17" fillId="5" borderId="1" xfId="0" applyNumberFormat="1" applyFont="1" applyFill="1" applyBorder="1"/>
    <xf numFmtId="10" fontId="17" fillId="5" borderId="1" xfId="0" applyNumberFormat="1" applyFont="1" applyFill="1" applyBorder="1"/>
    <xf numFmtId="10" fontId="17" fillId="5" borderId="1" xfId="0" applyNumberFormat="1" applyFont="1" applyFill="1" applyBorder="1" applyAlignment="1">
      <alignment horizontal="right"/>
    </xf>
    <xf numFmtId="165" fontId="17" fillId="5" borderId="1" xfId="0" applyNumberFormat="1" applyFont="1" applyFill="1" applyBorder="1" applyAlignment="1">
      <alignment horizontal="right"/>
    </xf>
    <xf numFmtId="166" fontId="17" fillId="5" borderId="1" xfId="0" applyNumberFormat="1" applyFont="1" applyFill="1" applyBorder="1"/>
    <xf numFmtId="164" fontId="17" fillId="5" borderId="1" xfId="0" applyNumberFormat="1" applyFont="1" applyFill="1" applyBorder="1"/>
    <xf numFmtId="0" fontId="20" fillId="0" borderId="0" xfId="0" applyFont="1"/>
    <xf numFmtId="0" fontId="17" fillId="10" borderId="1" xfId="0" applyFont="1" applyFill="1" applyBorder="1"/>
    <xf numFmtId="4" fontId="1" fillId="0" borderId="0" xfId="0" applyNumberFormat="1" applyFont="1"/>
    <xf numFmtId="0" fontId="5" fillId="0" borderId="0" xfId="0" applyFont="1" applyAlignment="1">
      <alignment horizontal="left" wrapText="1"/>
    </xf>
    <xf numFmtId="0" fontId="0" fillId="0" borderId="0" xfId="0"/>
    <xf numFmtId="0" fontId="19" fillId="8" borderId="11" xfId="0" applyFont="1" applyFill="1" applyBorder="1" applyAlignment="1">
      <alignment horizontal="center"/>
    </xf>
    <xf numFmtId="0" fontId="13" fillId="0" borderId="12" xfId="0" applyFont="1" applyBorder="1"/>
    <xf numFmtId="0" fontId="13" fillId="0" borderId="13" xfId="0" applyFont="1" applyBorder="1"/>
    <xf numFmtId="164" fontId="19" fillId="8" borderId="11" xfId="0" applyNumberFormat="1" applyFont="1" applyFill="1" applyBorder="1" applyAlignment="1">
      <alignment horizontal="center"/>
    </xf>
    <xf numFmtId="0" fontId="12" fillId="2" borderId="3" xfId="0" applyFont="1" applyFill="1" applyBorder="1" applyAlignment="1">
      <alignment horizontal="center" vertical="center"/>
    </xf>
    <xf numFmtId="0" fontId="13" fillId="0" borderId="4" xfId="0" applyFont="1" applyBorder="1"/>
    <xf numFmtId="0" fontId="13" fillId="0" borderId="5" xfId="0" applyFont="1" applyBorder="1"/>
    <xf numFmtId="0" fontId="13" fillId="0" borderId="6" xfId="0" applyFont="1" applyBorder="1"/>
    <xf numFmtId="0" fontId="13" fillId="0" borderId="7" xfId="0" applyFont="1" applyBorder="1"/>
    <xf numFmtId="0" fontId="13" fillId="0" borderId="8" xfId="0" applyFont="1" applyBorder="1"/>
    <xf numFmtId="0" fontId="13" fillId="0" borderId="9" xfId="0" applyFont="1" applyBorder="1"/>
    <xf numFmtId="0" fontId="13" fillId="0" borderId="10" xfId="0" applyFont="1" applyBorder="1"/>
  </cellXfs>
  <cellStyles count="1">
    <cellStyle name="Normal" xfId="0" builtinId="0"/>
  </cellStyles>
  <dxfs count="1">
    <dxf>
      <font>
        <color rgb="FFFFFFFF"/>
      </font>
      <fill>
        <patternFill patternType="solid">
          <fgColor rgb="FFFFFFFF"/>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17/10/relationships/person" Target="persons/person.xml"/></Relationships>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85725</xdr:colOff>
      <xdr:row>0</xdr:row>
      <xdr:rowOff>85725</xdr:rowOff>
    </xdr:from>
    <xdr:ext cx="3133725" cy="41910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104775</xdr:colOff>
      <xdr:row>0</xdr:row>
      <xdr:rowOff>95250</xdr:rowOff>
    </xdr:from>
    <xdr:ext cx="3228975" cy="419100"/>
    <xdr:pic>
      <xdr:nvPicPr>
        <xdr:cNvPr id="2" name="image1.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LegalVision" id="{fd126bc8-590b-44d2-a481-52f610ba6772}" providerId="google-sheets"/>
  <x18tc:person displayName="Explanation" id="{38d2f1ea-024b-43c4-9b0d-cae6ec6c2ac8}"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22" dT="2026-02-01T04:57:35.00" personId="{38d2f1ea-024b-43c4-9b0d-cae6ec6c2ac8}" id="{e0af1540-cd40-452b-a461-64cfb233a975}" done="0">
    <x18tc:text xml:space="preserve">This states whether the conversion price of the Convertible Instruments is determined by reference to the discount rate or the Valuation Cap. If your Convertible Instrument has both options, then whichever yields the lower conversion price will automatically apply.</x18tc:text>
  </x18tc:threadedComment>
  <x18tc:threadedComment ref="B19" dT="2026-02-01T04:57:35.00" personId="{38d2f1ea-024b-43c4-9b0d-cae6ec6c2ac8}" id="{5249755c-9809-4634-8e1a-6bd3e62596fb}" done="0">
    <x18tc:text xml:space="preserve">These conversion methodologies affect how you calculate the conversion price of the Convertible Instruments (and therefore the number of shares the Convertible Instrument holders will receive). 
Pre-money
If you use this method, the conversion price of the Convertible Instruments is based on a fixed pre-money valuation (being the “Pre-money agreed valuation” set out above). The full converted value of the Convertible Instruments is accounted for in the deemed post-money valuation, leading to greater dilution for new investors. This is the approach you would likely use if your Convertible Instrument is converting using the Valuation Cap as you do not want the Valuation Cap to be reduced by the alternative methodologies – it should be a simple calculation of Valuation Cap (as defined in the SAFE/Con note) divided by the pre-completion share capital.
Post-money
If you use this method, the conversion price of the Convertible Instruments is based on a fixed post-money valuation (to reflect that incoming investors are investing on the basis that they will own a certain percentage of the Company after the raise is complete). This means that the deemed pre-money valuation is reduced by the full converted value of the Convertible Instruments, leading to greater dilution for founders. This is the approach you would likely use if your Convertible Instrument is converting using the Discount and your investors are VCs. The incoming investors generally want the calculation of their share price (which affects the discounted conversion price) to be on a ‘fully diluted basis’, and as such that the pre-money is reduced by the full converted value of the Convertible Instruments i.e. the value of the Convertible Instruments is “shuffled” to the pre-money so that existing shareholders take the dilution for the conversions rather than the investors.
Dollars-invested
If you use this method, the value of the Convertible Instruments is spread across the deemed pre-money and post-money valuations (so the dilution is shared by founders and new investors). The deemed post-money valuation includes the actual amount invested under the Convertible Instruments, while the difference between the converted value and the actual amount invested under the Convertible Instruments is deducted from the deemed pre-money valuation.</x18tc:text>
  </x18tc:threadedComment>
  <x18tc:threadedComment ref="B21" dT="2026-02-01T04:57:35.00" personId="{38d2f1ea-024b-43c4-9b0d-cae6ec6c2ac8}" id="{2648388b-98d0-45c9-8a8b-b40091750b00}" done="0">
    <x18tc:text xml:space="preserve">In order to calculate the conversion price of the Convertible Instruments, the pre-money valuation of the Company is adjusted depending on the selected conversion methodology and the outcome it’s seeking to achieve.
This deemed pre-money valuation is simply an interim step to assist with calculating the conversion price of the Convertible Instruments, and will not necessarily be the same amount as the pre-money valuation which has been agreed with the incoming equity investors.</x18tc:text>
  </x18tc:threadedComment>
  <x18tc:threadedComment ref="F23" dT="2026-02-01T04:57:35.00" personId="{38d2f1ea-024b-43c4-9b0d-cae6ec6c2ac8}" id="{2aedef9e-d8fb-4093-af2c-c533088b5b84}" done="0">
    <x18tc:text xml:space="preserve">This is the converted value of the Convertible Instruments which actually applies to calculate the conversion price of the Convertible Instruments, depending on whether the discount or valuation cap applies.</x18tc:text>
  </x18tc:threadedComment>
  <x18tc:threadedComment ref="F20" dT="2026-02-01T04:57:35.00" personId="{38d2f1ea-024b-43c4-9b0d-cae6ec6c2ac8}" id="{41d6a0ee-739c-4c0f-a254-28fe3fd4ed22}" done="0">
    <x18tc:text xml:space="preserve">This is the converted value of the Convertible Instruments by reference to the discount rate. For example, if the amount invested was $500,000 and the Investor gets to convert this at a 50% discount, then they are effectively getting $1,000,000 of converted value from the Convertible Instrument.</x18tc:text>
  </x18tc:threadedComment>
  <x18tc:threadedComment ref="F21" dT="2026-02-01T04:57:35.00" personId="{38d2f1ea-024b-43c4-9b0d-cae6ec6c2ac8}" id="{191fedcb-5729-4d7f-ae38-bc45725a8e7e}" done="0">
    <x18tc:text xml:space="preserve">This is the converted value of the Convertible Instruments by reference to the Valuation Cap. For example, if there’s a Valuation Cap of $4 but the agreed pre-money is $5M, the company is worth 25% more than the Valuation Cap of $4M. This means that the investor is getting 25% more value from the conversion of the Convertible Instrument using the Valuation Cap. For example, for a $500,000 investment, the investor is actually getting $625,000 of converted value from the Convertible Instrument.</x18tc:text>
  </x18tc:threadedComment>
  <x18tc:threadedComment ref="B20" dT="2026-02-01T04:57:35.00" personId="{38d2f1ea-024b-43c4-9b0d-cae6ec6c2ac8}" id="{e50846af-ac67-4966-8811-2b984d4fd0b4}" done="0">
    <x18tc:text xml:space="preserve">The spreadsheet calculates the conversion price of the Convertible Instruments by adjusting the post-money valuation of the Company depending on the selected conversion methodology and the outcome it’s seeking to achieve.
This deemed post-money valuation is simply an interim step to assist with calculating the conversion price of the Convertible Instruments, and will not necessarily be the same amount the post-money valuation of the Company which has been agreed with the incoming equity investors.</x18tc:text>
  </x18tc:threadedComment>
  <x18tc:threadedComment ref="B25" dT="2026-02-01T04:57:35.00" personId="{38d2f1ea-024b-43c4-9b0d-cae6ec6c2ac8}" id="{068ab1b0-537d-404f-98ad-0dc3551e6a32}" done="0">
    <x18tc:text xml:space="preserve">In order to calculate the investment price per share for the equity raise, the pre-money valuation is adjusted depending on whether there are Convertible Instruments converting and whether there is a post investment ESOP which has been agreed. This adjustment commonly occurs for the post investment ESOP and is often referred to as the “ESOP shuffle”. The effect is that the value of the Convertible Instruments and the ESOP is “shuffled” and deducted from the agreed pre-money valuation to ensure that founders take the dilution for these, while incoming investors get the stake which they have agreed.</x18tc:text>
  </x18tc:threadedComment>
  <x18tc:threadedComment ref="H5" dT="2026-02-01T04:57:35.00" personId="{fd126bc8-590b-44d2-a481-52f610ba6772}" id="{ee5ae8de-05b2-4d43-adec-16bec33585e5}" done="0">
    <x18tc:text xml:space="preserve">This is where you will input the information about your convertible instruments. This cap table only has functionality to include two different sets of terms, so if you have convertible instruments with 3 or more different sets of terms, the conversion of those will have to be calculated separately. 
Convertible instruments that have the same terms will have their amounts aggregated in this section (depending on whether you select 'Con Inst 1' or 'Con Inst 2' in the column underneath C56).</x18tc:text>
  </x18tc:threadedComment>
  <x18tc:threadedComment ref="B23" dT="2026-02-01T04:57:35.00" personId="{38d2f1ea-024b-43c4-9b0d-cae6ec6c2ac8}" id="{59adae3c-1b69-441a-b645-81b51aa680c3}" done="0">
    <x18tc:text xml:space="preserve">In the “Post inv ESOP (%)” section, you will have included the agreed post money ESOP pool percentage. In this section, you can select whether the percentage you input includes current options which have been granted, or whether it just reflects the additional increase to the post-raise ESOP (ie the unallocated option pool). Usually VCs  will expect the post investment ESOP pool to reflect the unallocated options only.</x18tc:text>
  </x18tc:threadedComment>
  <x18tc:threadedComment ref="B15" dT="2026-02-01T04:57:35.00" personId="{38d2f1ea-024b-43c4-9b0d-cae6ec6c2ac8}" id="{c5955d61-2840-4259-950c-4d9d15c4b677}" done="0">
    <x18tc:text xml:space="preserve">This is the Company’s pre-money valuation as agreed with the incoming equity investors.</x18tc:text>
  </x18tc:threadedComment>
</x18tc: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captable@legalvision.com.au" TargetMode="External"/><Relationship Id="rId1" Type="http://schemas.openxmlformats.org/officeDocument/2006/relationships/hyperlink" Target="http://www.legalvision.com.au/" TargetMode="External"/></Relationships>
</file>

<file path=xl/worksheets/_rels/sheet3.xml.rels><?xml version="1.0" encoding="UTF-8" standalone="yes"?>
<Relationships xmlns="http://schemas.openxmlformats.org/package/2006/relationships"><Relationship Id="rId3" Type="http://schemas.microsoft.com/office/2019/04/relationships/documenttask" Target="../documenttasks/documenttask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asic.gov.au/for-business/running-a-company/shar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36C09"/>
  </sheetPr>
  <dimension ref="A1:Z1000"/>
  <sheetViews>
    <sheetView showGridLines="0" tabSelected="1" workbookViewId="0">
      <selection activeCell="B6" sqref="B6"/>
    </sheetView>
  </sheetViews>
  <sheetFormatPr defaultColWidth="12.625" defaultRowHeight="15" customHeight="1"/>
  <cols>
    <col min="1" max="1" width="11.625" customWidth="1"/>
    <col min="2" max="2" width="15.125" customWidth="1"/>
    <col min="3" max="3" width="6.375" customWidth="1"/>
    <col min="4" max="7" width="14.125" customWidth="1"/>
    <col min="8" max="8" width="15.875" customWidth="1"/>
    <col min="9" max="9" width="14" customWidth="1"/>
    <col min="10" max="10" width="12.375" customWidth="1"/>
    <col min="11" max="11" width="3.875" hidden="1" customWidth="1"/>
    <col min="12" max="12" width="14.625" hidden="1" customWidth="1"/>
    <col min="13" max="13" width="18.125" hidden="1" customWidth="1"/>
    <col min="14" max="14" width="16.125" hidden="1" customWidth="1"/>
    <col min="15" max="15" width="3.375" hidden="1" customWidth="1"/>
    <col min="16" max="18" width="16.125" hidden="1" customWidth="1"/>
    <col min="19" max="19" width="8.625" hidden="1" customWidth="1"/>
    <col min="20" max="20" width="10.875" hidden="1" customWidth="1"/>
    <col min="21" max="21" width="9.125" hidden="1" customWidth="1"/>
    <col min="22" max="22" width="17.375" hidden="1" customWidth="1"/>
    <col min="23" max="23" width="19.625" hidden="1" customWidth="1"/>
    <col min="24" max="24" width="30.125" hidden="1" customWidth="1"/>
  </cols>
  <sheetData>
    <row r="1" spans="1:26">
      <c r="A1" s="1"/>
      <c r="B1" s="1"/>
      <c r="C1" s="1"/>
      <c r="D1" s="1"/>
      <c r="E1" s="1"/>
      <c r="F1" s="1"/>
      <c r="G1" s="1"/>
      <c r="H1" s="1"/>
      <c r="I1" s="1"/>
      <c r="J1" s="1"/>
      <c r="K1" s="1"/>
      <c r="L1" s="1"/>
      <c r="M1" s="1"/>
      <c r="N1" s="1"/>
      <c r="O1" s="1"/>
      <c r="P1" s="1"/>
      <c r="Q1" s="1"/>
      <c r="R1" s="1"/>
      <c r="S1" s="1"/>
      <c r="T1" s="1"/>
      <c r="U1" s="2"/>
      <c r="V1" s="2"/>
      <c r="W1" s="2"/>
      <c r="X1" s="2"/>
      <c r="Y1" s="2"/>
      <c r="Z1" s="2"/>
    </row>
    <row r="2" spans="1:26">
      <c r="A2" s="1"/>
      <c r="B2" s="1"/>
      <c r="C2" s="1"/>
      <c r="D2" s="1"/>
      <c r="E2" s="1"/>
      <c r="F2" s="1"/>
      <c r="G2" s="1"/>
      <c r="H2" s="1"/>
      <c r="I2" s="1"/>
      <c r="J2" s="1"/>
      <c r="K2" s="1"/>
      <c r="L2" s="1"/>
      <c r="M2" s="1"/>
      <c r="N2" s="1"/>
      <c r="O2" s="1"/>
      <c r="P2" s="1"/>
      <c r="Q2" s="1"/>
      <c r="R2" s="1"/>
      <c r="S2" s="1"/>
      <c r="T2" s="1"/>
      <c r="U2" s="2"/>
      <c r="V2" s="2"/>
      <c r="W2" s="2"/>
      <c r="X2" s="2"/>
      <c r="Y2" s="2"/>
      <c r="Z2" s="2"/>
    </row>
    <row r="3" spans="1:26">
      <c r="A3" s="1"/>
      <c r="B3" s="1"/>
      <c r="C3" s="1"/>
      <c r="D3" s="1"/>
      <c r="E3" s="1"/>
      <c r="F3" s="1"/>
      <c r="G3" s="1"/>
      <c r="H3" s="1"/>
      <c r="I3" s="1"/>
      <c r="J3" s="1"/>
      <c r="K3" s="1"/>
      <c r="L3" s="1"/>
      <c r="M3" s="1"/>
      <c r="N3" s="1"/>
      <c r="O3" s="1"/>
      <c r="P3" s="1"/>
      <c r="Q3" s="1"/>
      <c r="R3" s="1"/>
      <c r="S3" s="1"/>
      <c r="T3" s="1"/>
      <c r="U3" s="2"/>
      <c r="V3" s="2"/>
      <c r="W3" s="2"/>
      <c r="X3" s="2"/>
      <c r="Y3" s="2"/>
      <c r="Z3" s="2"/>
    </row>
    <row r="4" spans="1:26">
      <c r="A4" s="2"/>
      <c r="B4" s="2"/>
      <c r="C4" s="2"/>
      <c r="D4" s="2"/>
      <c r="E4" s="2"/>
      <c r="F4" s="2"/>
      <c r="G4" s="2"/>
      <c r="H4" s="2"/>
      <c r="I4" s="2"/>
      <c r="J4" s="2"/>
      <c r="K4" s="2"/>
      <c r="L4" s="2"/>
      <c r="M4" s="2"/>
      <c r="N4" s="2"/>
      <c r="O4" s="2"/>
      <c r="P4" s="2"/>
      <c r="Q4" s="2"/>
      <c r="R4" s="2"/>
      <c r="S4" s="2"/>
      <c r="T4" s="2"/>
      <c r="U4" s="2"/>
      <c r="V4" s="2"/>
      <c r="W4" s="2"/>
      <c r="X4" s="2"/>
      <c r="Y4" s="2"/>
      <c r="Z4" s="2"/>
    </row>
    <row r="5" spans="1:26">
      <c r="A5" s="2"/>
      <c r="B5" s="2"/>
      <c r="C5" s="2"/>
      <c r="D5" s="2"/>
      <c r="E5" s="2"/>
      <c r="F5" s="2"/>
      <c r="G5" s="2"/>
      <c r="H5" s="2"/>
      <c r="I5" s="2"/>
      <c r="J5" s="2"/>
      <c r="K5" s="2"/>
      <c r="L5" s="2"/>
      <c r="M5" s="2"/>
      <c r="N5" s="2"/>
      <c r="O5" s="2"/>
      <c r="P5" s="2"/>
      <c r="Q5" s="2"/>
      <c r="R5" s="2"/>
      <c r="S5" s="2"/>
      <c r="T5" s="2"/>
      <c r="U5" s="2"/>
      <c r="V5" s="2"/>
      <c r="W5" s="2"/>
      <c r="X5" s="2"/>
      <c r="Y5" s="2"/>
      <c r="Z5" s="2"/>
    </row>
    <row r="6" spans="1:26" ht="26.25">
      <c r="A6" s="2"/>
      <c r="B6" s="3" t="s">
        <v>0</v>
      </c>
      <c r="C6" s="4"/>
      <c r="D6" s="4"/>
      <c r="E6" s="4"/>
      <c r="F6" s="4"/>
      <c r="G6" s="4"/>
      <c r="H6" s="4"/>
      <c r="I6" s="4"/>
      <c r="W6" s="2"/>
      <c r="X6" s="2"/>
      <c r="Y6" s="2"/>
      <c r="Z6" s="2"/>
    </row>
    <row r="7" spans="1:26">
      <c r="A7" s="2"/>
      <c r="W7" s="2"/>
      <c r="X7" s="2"/>
      <c r="Y7" s="2"/>
      <c r="Z7" s="2"/>
    </row>
    <row r="8" spans="1:26" ht="15.75">
      <c r="A8" s="2"/>
      <c r="B8" s="5" t="s">
        <v>1</v>
      </c>
      <c r="C8" s="6"/>
      <c r="D8" s="6"/>
      <c r="E8" s="6"/>
      <c r="F8" s="6"/>
      <c r="W8" s="2"/>
      <c r="X8" s="2"/>
      <c r="Y8" s="2"/>
      <c r="Z8" s="2"/>
    </row>
    <row r="9" spans="1:26" ht="15.75">
      <c r="A9" s="2"/>
      <c r="B9" s="7"/>
      <c r="C9" s="6"/>
      <c r="D9" s="6"/>
      <c r="E9" s="6"/>
      <c r="F9" s="6"/>
      <c r="W9" s="2"/>
      <c r="X9" s="2"/>
      <c r="Y9" s="2"/>
      <c r="Z9" s="2"/>
    </row>
    <row r="10" spans="1:26" ht="15.75">
      <c r="A10" s="2"/>
      <c r="B10" s="8" t="s">
        <v>2</v>
      </c>
      <c r="C10" s="6"/>
      <c r="D10" s="6"/>
      <c r="E10" s="6"/>
      <c r="F10" s="6"/>
      <c r="W10" s="2"/>
      <c r="X10" s="2"/>
      <c r="Y10" s="2"/>
      <c r="Z10" s="2"/>
    </row>
    <row r="11" spans="1:26" ht="15.75">
      <c r="A11" s="2"/>
      <c r="B11" s="6" t="s">
        <v>3</v>
      </c>
      <c r="C11" s="6"/>
      <c r="D11" s="6"/>
      <c r="E11" s="6"/>
      <c r="F11" s="6"/>
      <c r="W11" s="2"/>
      <c r="X11" s="2"/>
      <c r="Y11" s="2"/>
      <c r="Z11" s="2"/>
    </row>
    <row r="12" spans="1:26" ht="15.75">
      <c r="A12" s="2"/>
      <c r="B12" s="9" t="s">
        <v>4</v>
      </c>
      <c r="C12" s="6"/>
      <c r="D12" s="6"/>
      <c r="E12" s="6"/>
      <c r="F12" s="6"/>
      <c r="Y12" s="2"/>
      <c r="Z12" s="2"/>
    </row>
    <row r="13" spans="1:26" ht="15.75">
      <c r="A13" s="2"/>
      <c r="B13" s="6"/>
      <c r="C13" s="6"/>
      <c r="D13" s="6"/>
      <c r="E13" s="6"/>
      <c r="F13" s="6"/>
      <c r="Y13" s="2"/>
      <c r="Z13" s="2"/>
    </row>
    <row r="14" spans="1:26" ht="15.75">
      <c r="A14" s="2"/>
      <c r="B14" s="10" t="s">
        <v>5</v>
      </c>
      <c r="C14" s="11"/>
      <c r="D14" s="11"/>
      <c r="E14" s="11"/>
      <c r="F14" s="11"/>
      <c r="G14" s="11"/>
      <c r="H14" s="11"/>
      <c r="I14" s="11"/>
      <c r="Y14" s="2"/>
      <c r="Z14" s="2"/>
    </row>
    <row r="15" spans="1:26" ht="15.75">
      <c r="A15" s="2"/>
      <c r="B15" s="6"/>
      <c r="C15" s="6"/>
      <c r="D15" s="6"/>
      <c r="E15" s="2"/>
      <c r="F15" s="2"/>
      <c r="G15" s="2"/>
      <c r="H15" s="2"/>
      <c r="I15" s="2"/>
      <c r="J15" s="2"/>
      <c r="K15" s="2"/>
      <c r="L15" s="2"/>
      <c r="M15" s="2"/>
      <c r="N15" s="2"/>
      <c r="O15" s="2"/>
      <c r="P15" s="2"/>
      <c r="Q15" s="2"/>
      <c r="R15" s="2"/>
      <c r="S15" s="2"/>
      <c r="T15" s="2"/>
      <c r="U15" s="2"/>
      <c r="V15" s="2"/>
      <c r="W15" s="2"/>
      <c r="X15" s="2"/>
      <c r="Y15" s="2"/>
      <c r="Z15" s="2"/>
    </row>
    <row r="16" spans="1:26" ht="15.75">
      <c r="A16" s="2"/>
      <c r="B16" s="12" t="s">
        <v>6</v>
      </c>
      <c r="C16" s="6"/>
      <c r="D16" s="6" t="s">
        <v>7</v>
      </c>
      <c r="E16" s="2"/>
      <c r="F16" s="2"/>
      <c r="G16" s="2"/>
      <c r="H16" s="2"/>
      <c r="I16" s="2"/>
      <c r="J16" s="2"/>
      <c r="K16" s="2"/>
      <c r="L16" s="2"/>
      <c r="M16" s="2"/>
      <c r="N16" s="2"/>
      <c r="O16" s="2"/>
      <c r="P16" s="2"/>
      <c r="Q16" s="2"/>
      <c r="R16" s="2"/>
      <c r="S16" s="2"/>
      <c r="T16" s="2"/>
      <c r="U16" s="2"/>
      <c r="V16" s="2"/>
      <c r="W16" s="2"/>
      <c r="X16" s="2"/>
      <c r="Y16" s="2"/>
      <c r="Z16" s="2"/>
    </row>
    <row r="17" spans="1:26" ht="15.75">
      <c r="A17" s="2"/>
      <c r="B17" s="12" t="s">
        <v>8</v>
      </c>
      <c r="C17" s="7"/>
      <c r="D17" s="6" t="s">
        <v>9</v>
      </c>
      <c r="E17" s="2"/>
      <c r="F17" s="6"/>
      <c r="Y17" s="2"/>
      <c r="Z17" s="2"/>
    </row>
    <row r="18" spans="1:26" ht="15.75">
      <c r="A18" s="2"/>
      <c r="B18" s="6"/>
      <c r="C18" s="6"/>
      <c r="D18" s="6"/>
      <c r="E18" s="6"/>
      <c r="F18" s="6"/>
      <c r="Y18" s="2"/>
      <c r="Z18" s="2"/>
    </row>
    <row r="19" spans="1:26" ht="15.75">
      <c r="A19" s="2"/>
      <c r="B19" s="10" t="s">
        <v>10</v>
      </c>
      <c r="C19" s="11"/>
      <c r="D19" s="11"/>
      <c r="E19" s="11"/>
      <c r="F19" s="11"/>
      <c r="G19" s="11"/>
      <c r="H19" s="11"/>
      <c r="I19" s="11"/>
      <c r="Y19" s="2"/>
      <c r="Z19" s="2"/>
    </row>
    <row r="20" spans="1:26" ht="15.75">
      <c r="A20" s="2"/>
      <c r="B20" s="6"/>
      <c r="C20" s="6"/>
      <c r="D20" s="6"/>
      <c r="E20" s="2"/>
      <c r="F20" s="2"/>
      <c r="G20" s="2"/>
      <c r="H20" s="2"/>
      <c r="I20" s="2"/>
      <c r="J20" s="2"/>
      <c r="K20" s="2"/>
      <c r="L20" s="2"/>
      <c r="M20" s="2"/>
      <c r="N20" s="2"/>
      <c r="O20" s="2"/>
      <c r="P20" s="2"/>
      <c r="Q20" s="2"/>
      <c r="R20" s="2"/>
      <c r="S20" s="2"/>
      <c r="T20" s="2"/>
      <c r="U20" s="2"/>
      <c r="V20" s="2"/>
      <c r="W20" s="2"/>
      <c r="X20" s="2"/>
      <c r="Y20" s="2"/>
      <c r="Z20" s="2"/>
    </row>
    <row r="21" spans="1:26" ht="15.75" customHeight="1">
      <c r="A21" s="2"/>
      <c r="B21" s="7" t="s">
        <v>11</v>
      </c>
      <c r="C21" s="6"/>
      <c r="D21" s="6"/>
      <c r="E21" s="6"/>
      <c r="F21" s="6"/>
      <c r="Y21" s="2"/>
      <c r="Z21" s="2"/>
    </row>
    <row r="22" spans="1:26" ht="15.75" customHeight="1">
      <c r="A22" s="2"/>
      <c r="B22" s="6"/>
      <c r="C22" s="6"/>
      <c r="D22" s="6"/>
      <c r="E22" s="6"/>
      <c r="F22" s="6"/>
      <c r="Y22" s="2"/>
      <c r="Z22" s="2"/>
    </row>
    <row r="23" spans="1:26" ht="15.75" customHeight="1">
      <c r="A23" s="2"/>
      <c r="B23" s="13" t="s">
        <v>12</v>
      </c>
      <c r="C23" s="2" t="s">
        <v>13</v>
      </c>
      <c r="D23" s="2"/>
      <c r="E23" s="2"/>
      <c r="F23" s="6"/>
      <c r="Y23" s="2"/>
      <c r="Z23" s="2"/>
    </row>
    <row r="24" spans="1:26" ht="15.75" customHeight="1">
      <c r="A24" s="2"/>
      <c r="B24" s="13" t="s">
        <v>14</v>
      </c>
      <c r="C24" s="14" t="s">
        <v>15</v>
      </c>
      <c r="D24" s="2"/>
      <c r="E24" s="2"/>
      <c r="F24" s="6"/>
      <c r="Y24" s="2"/>
      <c r="Z24" s="2"/>
    </row>
    <row r="25" spans="1:26" ht="15.75" customHeight="1">
      <c r="A25" s="2"/>
      <c r="B25" s="13" t="s">
        <v>16</v>
      </c>
      <c r="C25" s="14" t="s">
        <v>17</v>
      </c>
      <c r="D25" s="2"/>
      <c r="E25" s="2"/>
      <c r="F25" s="6"/>
      <c r="Y25" s="2"/>
      <c r="Z25" s="2"/>
    </row>
    <row r="26" spans="1:26" ht="15.75" customHeight="1">
      <c r="A26" s="2"/>
      <c r="B26" s="13" t="s">
        <v>18</v>
      </c>
      <c r="C26" s="2" t="s">
        <v>19</v>
      </c>
      <c r="D26" s="2"/>
      <c r="E26" s="2"/>
      <c r="F26" s="6"/>
      <c r="Y26" s="2"/>
      <c r="Z26" s="2"/>
    </row>
    <row r="27" spans="1:26" ht="15.75" customHeight="1">
      <c r="A27" s="2"/>
      <c r="Y27" s="2"/>
      <c r="Z27" s="2"/>
    </row>
    <row r="28" spans="1:26" ht="15" customHeight="1">
      <c r="A28" s="2"/>
      <c r="B28" s="4"/>
      <c r="C28" s="4"/>
      <c r="D28" s="4"/>
      <c r="E28" s="4"/>
      <c r="F28" s="4"/>
      <c r="G28" s="4"/>
      <c r="H28" s="4"/>
      <c r="I28" s="4"/>
      <c r="Y28" s="2"/>
      <c r="Z28" s="2"/>
    </row>
    <row r="29" spans="1:26" ht="15.75" customHeight="1">
      <c r="A29" s="2"/>
      <c r="B29" s="2"/>
      <c r="C29" s="2"/>
      <c r="D29" s="2"/>
      <c r="E29" s="2"/>
      <c r="Y29" s="2"/>
      <c r="Z29" s="2"/>
    </row>
    <row r="30" spans="1:26" ht="15.75" customHeight="1">
      <c r="A30" s="2"/>
      <c r="B30" s="2"/>
      <c r="C30" s="2"/>
      <c r="D30" s="2"/>
      <c r="E30" s="2"/>
      <c r="Y30" s="2"/>
      <c r="Z30" s="2"/>
    </row>
    <row r="31" spans="1:26" ht="15.75" hidden="1" customHeight="1">
      <c r="A31" s="2"/>
      <c r="B31" s="2"/>
      <c r="C31" s="2"/>
      <c r="D31" s="2"/>
      <c r="E31" s="2"/>
      <c r="Y31" s="2"/>
      <c r="Z31" s="2"/>
    </row>
    <row r="32" spans="1:26" ht="15.75" hidden="1" customHeight="1">
      <c r="A32" s="2"/>
      <c r="B32" s="2"/>
      <c r="C32" s="2"/>
      <c r="D32" s="2"/>
      <c r="E32" s="2"/>
      <c r="Y32" s="2"/>
      <c r="Z32" s="2"/>
    </row>
    <row r="33" spans="1:26" ht="15.75" hidden="1" customHeight="1">
      <c r="A33" s="2"/>
      <c r="Y33" s="2"/>
      <c r="Z33" s="2"/>
    </row>
    <row r="34" spans="1:26" ht="15.75" hidden="1" customHeight="1">
      <c r="A34" s="2"/>
      <c r="Y34" s="2"/>
      <c r="Z34" s="2"/>
    </row>
    <row r="35" spans="1:26" ht="15.75" hidden="1" customHeight="1">
      <c r="A35" s="2"/>
      <c r="Y35" s="2"/>
      <c r="Z35" s="2"/>
    </row>
    <row r="36" spans="1:26" ht="15.75" hidden="1" customHeight="1">
      <c r="A36" s="2"/>
      <c r="Y36" s="2"/>
      <c r="Z36" s="2"/>
    </row>
    <row r="37" spans="1:26" ht="15.75" hidden="1" customHeight="1">
      <c r="A37" s="2"/>
      <c r="Y37" s="2"/>
      <c r="Z37" s="2"/>
    </row>
    <row r="38" spans="1:26" ht="15.75" hidden="1" customHeight="1">
      <c r="A38" s="2"/>
      <c r="Y38" s="2"/>
      <c r="Z38" s="2"/>
    </row>
    <row r="39" spans="1:26" ht="15.75" hidden="1" customHeight="1">
      <c r="A39" s="2"/>
      <c r="Y39" s="2"/>
      <c r="Z39" s="2"/>
    </row>
    <row r="40" spans="1:26" ht="15.75" hidden="1" customHeight="1">
      <c r="A40" s="2"/>
      <c r="Y40" s="2"/>
      <c r="Z40" s="2"/>
    </row>
    <row r="41" spans="1:26" ht="15.75" hidden="1" customHeight="1">
      <c r="A41" s="2"/>
      <c r="Y41" s="2"/>
      <c r="Z41" s="2"/>
    </row>
    <row r="42" spans="1:26" ht="15.75" hidden="1" customHeight="1">
      <c r="A42" s="2"/>
      <c r="Y42" s="2"/>
      <c r="Z42" s="2"/>
    </row>
    <row r="43" spans="1:26" ht="15.75" hidden="1" customHeight="1">
      <c r="A43" s="2"/>
      <c r="Y43" s="2"/>
      <c r="Z43" s="2"/>
    </row>
    <row r="44" spans="1:26" ht="15.75" hidden="1" customHeight="1">
      <c r="A44" s="2"/>
      <c r="Y44" s="2"/>
      <c r="Z44" s="2"/>
    </row>
    <row r="45" spans="1:26" ht="15.75" hidden="1" customHeight="1">
      <c r="A45" s="2"/>
      <c r="Y45" s="2"/>
      <c r="Z45" s="2"/>
    </row>
    <row r="46" spans="1:26" ht="15.75" hidden="1" customHeight="1">
      <c r="A46" s="2"/>
      <c r="Y46" s="2"/>
      <c r="Z46" s="2"/>
    </row>
    <row r="47" spans="1:26" ht="15.75" hidden="1" customHeight="1">
      <c r="A47" s="2"/>
      <c r="Y47" s="2"/>
      <c r="Z47" s="2"/>
    </row>
    <row r="48" spans="1:26"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row r="228" spans="1:26" ht="15.75" customHeight="1"/>
    <row r="229" spans="1:26" ht="15.75" customHeight="1"/>
    <row r="230" spans="1:26" ht="15.75" customHeight="1"/>
    <row r="231" spans="1:26" ht="15.75" customHeight="1"/>
    <row r="232" spans="1:26" ht="15.75" customHeight="1"/>
    <row r="233" spans="1:26" ht="15.75" customHeight="1"/>
    <row r="234" spans="1:26" ht="15.75" customHeight="1"/>
    <row r="235" spans="1:26" ht="15.75" customHeight="1"/>
    <row r="236" spans="1:26" ht="15.75" customHeight="1"/>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C24" r:id="rId1" xr:uid="{00000000-0004-0000-0000-000000000000}"/>
    <hyperlink ref="C25" r:id="rId2" xr:uid="{00000000-0004-0000-0000-000001000000}"/>
  </hyperlinks>
  <pageMargins left="0.7" right="0.7" top="0.75" bottom="0.75" header="0" footer="0"/>
  <pageSetup paperSize="9"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36C09"/>
  </sheetPr>
  <dimension ref="A1:Z1000"/>
  <sheetViews>
    <sheetView showGridLines="0" workbookViewId="0"/>
  </sheetViews>
  <sheetFormatPr defaultColWidth="12.625" defaultRowHeight="15" customHeight="1"/>
  <cols>
    <col min="1" max="1" width="6.5" customWidth="1"/>
    <col min="2" max="2" width="15.125" customWidth="1"/>
    <col min="3" max="7" width="14.125" customWidth="1"/>
    <col min="8" max="8" width="15.875" customWidth="1"/>
    <col min="9" max="9" width="14" customWidth="1"/>
    <col min="10" max="10" width="12.375" customWidth="1"/>
    <col min="11" max="11" width="14.625" customWidth="1"/>
    <col min="12" max="12" width="18.125" customWidth="1"/>
    <col min="13" max="13" width="16.125" customWidth="1"/>
    <col min="14" max="14" width="3.375" customWidth="1"/>
    <col min="15" max="17" width="16.125" customWidth="1"/>
    <col min="18" max="18" width="8.625" customWidth="1"/>
    <col min="19" max="19" width="10.875" customWidth="1"/>
    <col min="20" max="20" width="9.125" customWidth="1"/>
    <col min="21" max="21" width="17.375" customWidth="1"/>
    <col min="22" max="22" width="19.625" customWidth="1"/>
    <col min="23" max="23" width="30.125" customWidth="1"/>
  </cols>
  <sheetData>
    <row r="1" spans="1:26">
      <c r="A1" s="1"/>
      <c r="B1" s="1"/>
      <c r="C1" s="1"/>
      <c r="D1" s="1"/>
      <c r="E1" s="1"/>
      <c r="F1" s="1"/>
      <c r="G1" s="1"/>
      <c r="H1" s="1"/>
      <c r="I1" s="1"/>
      <c r="J1" s="1"/>
      <c r="K1" s="1"/>
      <c r="L1" s="1"/>
      <c r="M1" s="1"/>
      <c r="N1" s="1"/>
      <c r="O1" s="1"/>
      <c r="P1" s="1"/>
      <c r="Q1" s="1"/>
      <c r="R1" s="1"/>
      <c r="S1" s="1"/>
      <c r="T1" s="2"/>
      <c r="U1" s="2"/>
      <c r="V1" s="2"/>
      <c r="W1" s="2"/>
      <c r="X1" s="2"/>
      <c r="Y1" s="2"/>
      <c r="Z1" s="2"/>
    </row>
    <row r="2" spans="1:26">
      <c r="A2" s="1"/>
      <c r="B2" s="1"/>
      <c r="C2" s="1"/>
      <c r="D2" s="1"/>
      <c r="E2" s="1"/>
      <c r="F2" s="1"/>
      <c r="G2" s="1"/>
      <c r="H2" s="1"/>
      <c r="I2" s="1"/>
      <c r="J2" s="1"/>
      <c r="K2" s="1"/>
      <c r="L2" s="1"/>
      <c r="M2" s="1"/>
      <c r="N2" s="1"/>
      <c r="O2" s="1"/>
      <c r="P2" s="1"/>
      <c r="Q2" s="1"/>
      <c r="R2" s="1"/>
      <c r="S2" s="1"/>
      <c r="T2" s="2"/>
      <c r="U2" s="2"/>
      <c r="V2" s="2"/>
      <c r="W2" s="2"/>
      <c r="X2" s="2"/>
      <c r="Y2" s="2"/>
      <c r="Z2" s="2"/>
    </row>
    <row r="3" spans="1:26">
      <c r="A3" s="1"/>
      <c r="B3" s="1"/>
      <c r="C3" s="1"/>
      <c r="D3" s="1"/>
      <c r="E3" s="1"/>
      <c r="F3" s="1"/>
      <c r="G3" s="1"/>
      <c r="H3" s="1"/>
      <c r="I3" s="1"/>
      <c r="J3" s="1"/>
      <c r="K3" s="1"/>
      <c r="L3" s="1"/>
      <c r="M3" s="1"/>
      <c r="N3" s="1"/>
      <c r="O3" s="1"/>
      <c r="P3" s="1"/>
      <c r="Q3" s="1"/>
      <c r="R3" s="1"/>
      <c r="S3" s="1"/>
      <c r="T3" s="2"/>
      <c r="U3" s="2"/>
      <c r="V3" s="2"/>
      <c r="W3" s="2"/>
      <c r="X3" s="2"/>
      <c r="Y3" s="2"/>
      <c r="Z3" s="2"/>
    </row>
    <row r="4" spans="1:26">
      <c r="A4" s="2"/>
      <c r="B4" s="2"/>
      <c r="C4" s="2"/>
      <c r="D4" s="2"/>
      <c r="E4" s="2"/>
      <c r="F4" s="2"/>
      <c r="G4" s="2"/>
      <c r="H4" s="2"/>
      <c r="I4" s="2"/>
      <c r="J4" s="2"/>
      <c r="K4" s="2"/>
      <c r="L4" s="2"/>
      <c r="M4" s="2"/>
      <c r="N4" s="2"/>
      <c r="O4" s="2"/>
      <c r="P4" s="2"/>
      <c r="Q4" s="2"/>
      <c r="R4" s="2"/>
      <c r="S4" s="2"/>
      <c r="T4" s="2"/>
      <c r="U4" s="2"/>
      <c r="V4" s="2"/>
      <c r="W4" s="2"/>
      <c r="X4" s="2"/>
      <c r="Y4" s="2"/>
      <c r="Z4" s="2"/>
    </row>
    <row r="5" spans="1:26" ht="21">
      <c r="A5" s="2"/>
      <c r="B5" s="4" t="s">
        <v>6</v>
      </c>
      <c r="C5" s="4"/>
      <c r="D5" s="4"/>
      <c r="E5" s="4"/>
      <c r="F5" s="4"/>
      <c r="G5" s="4"/>
      <c r="H5" s="4"/>
      <c r="I5" s="4"/>
      <c r="J5" s="4"/>
      <c r="K5" s="4"/>
      <c r="X5" s="2"/>
      <c r="Y5" s="2"/>
      <c r="Z5" s="2"/>
    </row>
    <row r="6" spans="1:26" ht="21">
      <c r="A6" s="2"/>
      <c r="B6" s="15"/>
      <c r="C6" s="15"/>
      <c r="D6" s="15"/>
      <c r="E6" s="15"/>
      <c r="F6" s="15"/>
      <c r="G6" s="15"/>
      <c r="H6" s="15"/>
      <c r="I6" s="15"/>
      <c r="J6" s="15"/>
      <c r="K6" s="15"/>
      <c r="L6" s="2"/>
      <c r="M6" s="2"/>
      <c r="N6" s="2"/>
      <c r="O6" s="2"/>
      <c r="P6" s="2"/>
      <c r="Q6" s="2"/>
      <c r="R6" s="2"/>
      <c r="S6" s="2"/>
      <c r="T6" s="2"/>
      <c r="U6" s="2"/>
      <c r="V6" s="2"/>
      <c r="W6" s="2"/>
      <c r="X6" s="2"/>
      <c r="Y6" s="2"/>
      <c r="Z6" s="2"/>
    </row>
    <row r="7" spans="1:26" ht="21">
      <c r="A7" s="2"/>
      <c r="B7" s="15" t="s">
        <v>20</v>
      </c>
      <c r="C7" s="15" t="s">
        <v>21</v>
      </c>
      <c r="D7" s="15"/>
      <c r="E7" s="15"/>
      <c r="F7" s="15"/>
      <c r="G7" s="15"/>
      <c r="H7" s="15"/>
      <c r="I7" s="15"/>
      <c r="J7" s="15"/>
      <c r="K7" s="15"/>
      <c r="L7" s="2"/>
      <c r="M7" s="2"/>
      <c r="N7" s="2"/>
      <c r="O7" s="2"/>
      <c r="P7" s="2"/>
      <c r="Q7" s="2"/>
      <c r="R7" s="2"/>
      <c r="S7" s="2"/>
      <c r="T7" s="2"/>
      <c r="U7" s="2"/>
      <c r="V7" s="2"/>
      <c r="W7" s="2"/>
      <c r="X7" s="2"/>
      <c r="Y7" s="2"/>
      <c r="Z7" s="2"/>
    </row>
    <row r="8" spans="1:26" ht="21">
      <c r="A8" s="2"/>
      <c r="B8" s="15"/>
      <c r="C8" s="15" t="s">
        <v>22</v>
      </c>
      <c r="D8" s="15"/>
      <c r="E8" s="15"/>
      <c r="F8" s="15"/>
      <c r="G8" s="15"/>
      <c r="H8" s="15"/>
      <c r="I8" s="15"/>
      <c r="J8" s="15"/>
      <c r="K8" s="15"/>
      <c r="L8" s="2"/>
      <c r="M8" s="2"/>
      <c r="N8" s="2"/>
      <c r="O8" s="2"/>
      <c r="P8" s="2"/>
      <c r="Q8" s="2"/>
      <c r="R8" s="2"/>
      <c r="S8" s="2"/>
      <c r="T8" s="2"/>
      <c r="U8" s="2"/>
      <c r="V8" s="2"/>
      <c r="W8" s="2"/>
      <c r="X8" s="2"/>
      <c r="Y8" s="2"/>
      <c r="Z8" s="2"/>
    </row>
    <row r="9" spans="1:26" ht="21">
      <c r="A9" s="2"/>
      <c r="B9" s="15"/>
      <c r="C9" s="15"/>
      <c r="D9" s="15"/>
      <c r="E9" s="15"/>
      <c r="F9" s="15"/>
      <c r="G9" s="15"/>
      <c r="H9" s="15"/>
      <c r="I9" s="15"/>
      <c r="J9" s="15"/>
      <c r="K9" s="15"/>
      <c r="L9" s="2"/>
      <c r="M9" s="2"/>
      <c r="N9" s="2"/>
      <c r="O9" s="2"/>
      <c r="P9" s="2"/>
      <c r="Q9" s="2"/>
      <c r="R9" s="2"/>
      <c r="S9" s="2"/>
      <c r="T9" s="2"/>
      <c r="U9" s="2"/>
      <c r="V9" s="2"/>
      <c r="W9" s="2"/>
      <c r="X9" s="2"/>
      <c r="Y9" s="2"/>
      <c r="Z9" s="2"/>
    </row>
    <row r="10" spans="1:26" ht="15.75">
      <c r="A10" s="2"/>
      <c r="B10" s="16" t="s">
        <v>23</v>
      </c>
      <c r="C10" s="6"/>
      <c r="D10" s="2"/>
      <c r="E10" s="17"/>
      <c r="F10" s="2"/>
      <c r="G10" s="2"/>
      <c r="H10" s="2"/>
      <c r="I10" s="2"/>
      <c r="J10" s="2"/>
      <c r="K10" s="2"/>
      <c r="L10" s="2"/>
      <c r="M10" s="2"/>
      <c r="N10" s="2"/>
      <c r="O10" s="2"/>
      <c r="P10" s="2"/>
      <c r="Q10" s="2"/>
      <c r="R10" s="2"/>
      <c r="S10" s="2"/>
      <c r="T10" s="2"/>
      <c r="U10" s="2"/>
      <c r="V10" s="2"/>
      <c r="W10" s="2"/>
      <c r="X10" s="2"/>
      <c r="Y10" s="2"/>
      <c r="Z10" s="2"/>
    </row>
    <row r="11" spans="1:26" ht="15.75">
      <c r="A11" s="2"/>
      <c r="B11" s="16" t="s">
        <v>24</v>
      </c>
      <c r="C11" s="6"/>
      <c r="D11" s="2"/>
      <c r="E11" s="17"/>
      <c r="F11" s="2"/>
      <c r="G11" s="2"/>
      <c r="H11" s="2"/>
      <c r="I11" s="2"/>
      <c r="J11" s="2"/>
      <c r="K11" s="2"/>
      <c r="L11" s="2"/>
      <c r="M11" s="2"/>
      <c r="N11" s="2"/>
      <c r="O11" s="2"/>
      <c r="P11" s="2"/>
      <c r="Q11" s="2"/>
      <c r="R11" s="2"/>
      <c r="S11" s="2"/>
      <c r="T11" s="2"/>
      <c r="U11" s="2"/>
      <c r="V11" s="2"/>
      <c r="W11" s="2"/>
      <c r="X11" s="2"/>
      <c r="Y11" s="2"/>
      <c r="Z11" s="2"/>
    </row>
    <row r="12" spans="1:26" ht="15.75">
      <c r="A12" s="2"/>
      <c r="B12" s="16"/>
      <c r="C12" s="6"/>
      <c r="D12" s="7"/>
      <c r="E12" s="18"/>
      <c r="F12" s="6"/>
      <c r="X12" s="2"/>
      <c r="Y12" s="2"/>
      <c r="Z12" s="2"/>
    </row>
    <row r="13" spans="1:26" ht="15.75">
      <c r="A13" s="2"/>
      <c r="B13" s="10" t="s">
        <v>25</v>
      </c>
      <c r="C13" s="11"/>
      <c r="D13" s="11"/>
      <c r="E13" s="11"/>
      <c r="F13" s="11"/>
      <c r="G13" s="11"/>
      <c r="H13" s="11"/>
      <c r="I13" s="11"/>
      <c r="J13" s="11"/>
      <c r="K13" s="11"/>
      <c r="X13" s="2"/>
      <c r="Y13" s="2"/>
      <c r="Z13" s="2"/>
    </row>
    <row r="14" spans="1:26" ht="15.75">
      <c r="A14" s="2"/>
      <c r="B14" s="6"/>
      <c r="C14" s="6"/>
      <c r="D14" s="2"/>
      <c r="E14" s="2"/>
      <c r="F14" s="2"/>
      <c r="G14" s="2"/>
      <c r="H14" s="2"/>
      <c r="I14" s="2"/>
      <c r="J14" s="2"/>
      <c r="K14" s="2"/>
      <c r="L14" s="2"/>
      <c r="M14" s="2"/>
      <c r="N14" s="2"/>
      <c r="O14" s="2"/>
      <c r="P14" s="2"/>
      <c r="Q14" s="2"/>
      <c r="R14" s="2"/>
      <c r="S14" s="2"/>
      <c r="T14" s="2"/>
      <c r="U14" s="2"/>
      <c r="V14" s="2"/>
      <c r="W14" s="2"/>
      <c r="X14" s="2"/>
      <c r="Y14" s="2"/>
      <c r="Z14" s="2"/>
    </row>
    <row r="15" spans="1:26" ht="15.75">
      <c r="A15" s="2"/>
      <c r="B15" s="16" t="s">
        <v>26</v>
      </c>
      <c r="C15" s="6"/>
      <c r="D15" s="2"/>
      <c r="E15" s="17"/>
      <c r="F15" s="2"/>
      <c r="G15" s="2"/>
      <c r="H15" s="2"/>
      <c r="I15" s="2"/>
      <c r="J15" s="2"/>
      <c r="K15" s="2"/>
      <c r="L15" s="2"/>
      <c r="M15" s="2"/>
      <c r="N15" s="2"/>
      <c r="O15" s="2"/>
      <c r="P15" s="2"/>
      <c r="Q15" s="2"/>
      <c r="R15" s="2"/>
      <c r="S15" s="2"/>
      <c r="T15" s="2"/>
      <c r="U15" s="2"/>
      <c r="V15" s="2"/>
      <c r="W15" s="2"/>
      <c r="X15" s="2"/>
      <c r="Y15" s="2"/>
      <c r="Z15" s="2"/>
    </row>
    <row r="16" spans="1:26" ht="15.75">
      <c r="A16" s="2"/>
      <c r="B16" s="16" t="s">
        <v>27</v>
      </c>
      <c r="C16" s="6"/>
      <c r="D16" s="7"/>
      <c r="E16" s="18"/>
      <c r="F16" s="6"/>
      <c r="X16" s="2"/>
      <c r="Y16" s="2"/>
      <c r="Z16" s="2"/>
    </row>
    <row r="17" spans="1:26" ht="15.75">
      <c r="A17" s="2"/>
      <c r="B17" s="16" t="s">
        <v>28</v>
      </c>
      <c r="C17" s="6"/>
      <c r="D17" s="7"/>
      <c r="E17" s="18"/>
      <c r="F17" s="6"/>
      <c r="X17" s="2"/>
      <c r="Y17" s="2"/>
      <c r="Z17" s="2"/>
    </row>
    <row r="18" spans="1:26" ht="15.75">
      <c r="A18" s="2"/>
      <c r="B18" s="6"/>
      <c r="C18" s="6"/>
      <c r="D18" s="6"/>
      <c r="E18" s="6"/>
      <c r="F18" s="6"/>
      <c r="X18" s="2"/>
      <c r="Y18" s="2"/>
      <c r="Z18" s="2"/>
    </row>
    <row r="19" spans="1:26" ht="15.75">
      <c r="A19" s="2"/>
      <c r="B19" s="10" t="s">
        <v>29</v>
      </c>
      <c r="C19" s="11"/>
      <c r="D19" s="11"/>
      <c r="E19" s="11"/>
      <c r="F19" s="11"/>
      <c r="G19" s="11"/>
      <c r="H19" s="11"/>
      <c r="I19" s="11"/>
      <c r="J19" s="11"/>
      <c r="K19" s="11"/>
      <c r="X19" s="2"/>
      <c r="Y19" s="2"/>
      <c r="Z19" s="2"/>
    </row>
    <row r="20" spans="1:26" ht="15.75">
      <c r="A20" s="2"/>
      <c r="B20" s="19" t="s">
        <v>30</v>
      </c>
      <c r="C20" s="19" t="s">
        <v>31</v>
      </c>
      <c r="D20" s="6"/>
      <c r="E20" s="6"/>
      <c r="F20" s="6"/>
      <c r="X20" s="2"/>
      <c r="Y20" s="2"/>
      <c r="Z20" s="2"/>
    </row>
    <row r="21" spans="1:26" ht="15.75" customHeight="1">
      <c r="A21" s="2"/>
      <c r="B21" s="19"/>
      <c r="C21" s="19"/>
      <c r="D21" s="6"/>
      <c r="E21" s="6"/>
      <c r="F21" s="6"/>
      <c r="X21" s="2"/>
      <c r="Y21" s="2"/>
      <c r="Z21" s="2"/>
    </row>
    <row r="22" spans="1:26" ht="34.5" customHeight="1">
      <c r="A22" s="2"/>
      <c r="B22" s="20" t="s">
        <v>32</v>
      </c>
      <c r="C22" s="86" t="s">
        <v>33</v>
      </c>
      <c r="D22" s="87"/>
      <c r="E22" s="87"/>
      <c r="F22" s="87"/>
      <c r="G22" s="87"/>
      <c r="H22" s="87"/>
      <c r="I22" s="87"/>
      <c r="X22" s="2"/>
      <c r="Y22" s="2"/>
      <c r="Z22" s="2"/>
    </row>
    <row r="23" spans="1:26" ht="15.75" customHeight="1">
      <c r="A23" s="2"/>
      <c r="B23" s="13"/>
      <c r="C23" s="6"/>
      <c r="D23" s="6"/>
      <c r="E23" s="6"/>
      <c r="F23" s="6"/>
      <c r="X23" s="2"/>
      <c r="Y23" s="2"/>
      <c r="Z23" s="2"/>
    </row>
    <row r="24" spans="1:26" ht="15.75" customHeight="1">
      <c r="A24" s="2"/>
      <c r="B24" s="19" t="s">
        <v>34</v>
      </c>
      <c r="C24" s="6" t="s">
        <v>35</v>
      </c>
      <c r="D24" s="6"/>
      <c r="E24" s="6"/>
      <c r="F24" s="6"/>
      <c r="X24" s="2"/>
      <c r="Y24" s="2"/>
      <c r="Z24" s="2"/>
    </row>
    <row r="25" spans="1:26" ht="15.75" customHeight="1">
      <c r="A25" s="2"/>
      <c r="B25" s="2"/>
      <c r="C25" s="7" t="s">
        <v>36</v>
      </c>
      <c r="D25" s="6"/>
      <c r="E25" s="6"/>
      <c r="F25" s="6"/>
      <c r="X25" s="2"/>
      <c r="Y25" s="2"/>
      <c r="Z25" s="2"/>
    </row>
    <row r="26" spans="1:26" ht="15.75" customHeight="1">
      <c r="A26" s="2"/>
      <c r="B26" s="2"/>
      <c r="C26" s="6"/>
      <c r="D26" s="2"/>
      <c r="E26" s="2"/>
      <c r="X26" s="2"/>
      <c r="Y26" s="2"/>
      <c r="Z26" s="2"/>
    </row>
    <row r="27" spans="1:26" ht="15.75" customHeight="1">
      <c r="A27" s="2"/>
      <c r="B27" s="4"/>
      <c r="C27" s="4"/>
      <c r="D27" s="4"/>
      <c r="E27" s="4"/>
      <c r="F27" s="4"/>
      <c r="G27" s="4"/>
      <c r="H27" s="4"/>
      <c r="I27" s="4"/>
      <c r="J27" s="4"/>
      <c r="K27" s="4"/>
      <c r="X27" s="2"/>
      <c r="Y27" s="2"/>
      <c r="Z27" s="2"/>
    </row>
    <row r="28" spans="1:26" ht="15.75" customHeight="1">
      <c r="A28" s="2"/>
      <c r="X28" s="2"/>
      <c r="Y28" s="2"/>
      <c r="Z28" s="2"/>
    </row>
    <row r="29" spans="1:26" ht="15.75" customHeight="1">
      <c r="A29" s="2"/>
      <c r="B29" s="2"/>
      <c r="X29" s="2"/>
      <c r="Y29" s="2"/>
      <c r="Z29" s="2"/>
    </row>
    <row r="30" spans="1:26" ht="15.75" customHeight="1">
      <c r="A30" s="2"/>
      <c r="X30" s="2"/>
      <c r="Y30" s="2"/>
      <c r="Z30" s="2"/>
    </row>
    <row r="31" spans="1:26" ht="15.75" customHeight="1">
      <c r="A31" s="2"/>
      <c r="X31" s="2"/>
      <c r="Y31" s="2"/>
      <c r="Z31" s="2"/>
    </row>
    <row r="32" spans="1:26" ht="15.75" customHeight="1">
      <c r="A32" s="2"/>
      <c r="X32" s="2"/>
      <c r="Y32" s="2"/>
      <c r="Z32" s="2"/>
    </row>
    <row r="33" spans="1:26" ht="15.75" customHeight="1">
      <c r="A33" s="2"/>
      <c r="X33" s="2"/>
      <c r="Y33" s="2"/>
      <c r="Z33" s="2"/>
    </row>
    <row r="34" spans="1:26" ht="15.75" customHeight="1">
      <c r="A34" s="2"/>
      <c r="X34" s="2"/>
      <c r="Y34" s="2"/>
      <c r="Z34" s="2"/>
    </row>
    <row r="35" spans="1:26" ht="15.75" customHeight="1">
      <c r="A35" s="2"/>
      <c r="X35" s="2"/>
      <c r="Y35" s="2"/>
      <c r="Z35" s="2"/>
    </row>
    <row r="36" spans="1:26" ht="1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row r="231" spans="1:26" ht="15.75" customHeight="1"/>
    <row r="232" spans="1:26" ht="15.75" customHeight="1"/>
    <row r="233" spans="1:26" ht="15.75" customHeight="1"/>
    <row r="234" spans="1:26" ht="15.75" customHeight="1"/>
    <row r="235" spans="1:26" ht="15.75" customHeight="1"/>
    <row r="236" spans="1:26" ht="15.75" customHeight="1"/>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22:I22"/>
  </mergeCell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ABF8F"/>
    <pageSetUpPr fitToPage="1"/>
  </sheetPr>
  <dimension ref="A1:R1006"/>
  <sheetViews>
    <sheetView showGridLines="0" workbookViewId="0"/>
  </sheetViews>
  <sheetFormatPr defaultColWidth="12.625" defaultRowHeight="15" customHeight="1"/>
  <cols>
    <col min="1" max="1" width="3.125" customWidth="1"/>
    <col min="2" max="2" width="37.625" customWidth="1"/>
    <col min="3" max="3" width="31.375" customWidth="1"/>
    <col min="4" max="4" width="3.125" customWidth="1"/>
    <col min="5" max="5" width="13.625" customWidth="1"/>
    <col min="6" max="6" width="12.125" customWidth="1"/>
    <col min="7" max="7" width="12.875" customWidth="1"/>
    <col min="8" max="8" width="12.625" customWidth="1"/>
    <col min="9" max="9" width="5.375" customWidth="1"/>
    <col min="10" max="10" width="13" customWidth="1"/>
    <col min="11" max="11" width="13.625" customWidth="1"/>
    <col min="12" max="12" width="10.625" customWidth="1"/>
    <col min="13" max="13" width="3.875" customWidth="1"/>
    <col min="14" max="14" width="17.375" customWidth="1"/>
    <col min="15" max="15" width="13.625" customWidth="1"/>
    <col min="16" max="16" width="13.125" customWidth="1"/>
    <col min="17" max="18" width="10.625" customWidth="1"/>
  </cols>
  <sheetData>
    <row r="1" spans="1:18">
      <c r="A1" s="92" t="s">
        <v>37</v>
      </c>
      <c r="B1" s="93"/>
      <c r="C1" s="93"/>
      <c r="D1" s="93"/>
      <c r="E1" s="93"/>
      <c r="F1" s="93"/>
      <c r="G1" s="93"/>
      <c r="H1" s="94"/>
      <c r="I1" s="1"/>
      <c r="J1" s="1"/>
      <c r="K1" s="1"/>
      <c r="L1" s="1"/>
      <c r="M1" s="1"/>
      <c r="N1" s="21"/>
      <c r="O1" s="1"/>
      <c r="P1" s="1"/>
      <c r="Q1" s="1"/>
      <c r="R1" s="1"/>
    </row>
    <row r="2" spans="1:18">
      <c r="A2" s="95"/>
      <c r="B2" s="87"/>
      <c r="C2" s="87"/>
      <c r="D2" s="87"/>
      <c r="E2" s="87"/>
      <c r="F2" s="87"/>
      <c r="G2" s="87"/>
      <c r="H2" s="96"/>
      <c r="I2" s="1"/>
      <c r="J2" s="1"/>
      <c r="K2" s="1"/>
      <c r="L2" s="1"/>
      <c r="M2" s="1"/>
      <c r="N2" s="21"/>
      <c r="O2" s="1"/>
      <c r="P2" s="1"/>
      <c r="Q2" s="1"/>
      <c r="R2" s="1"/>
    </row>
    <row r="3" spans="1:18">
      <c r="A3" s="97"/>
      <c r="B3" s="98"/>
      <c r="C3" s="98"/>
      <c r="D3" s="98"/>
      <c r="E3" s="98"/>
      <c r="F3" s="98"/>
      <c r="G3" s="98"/>
      <c r="H3" s="99"/>
      <c r="I3" s="1"/>
      <c r="J3" s="1"/>
      <c r="K3" s="1"/>
      <c r="L3" s="1"/>
      <c r="M3" s="1"/>
      <c r="N3" s="21"/>
      <c r="O3" s="1"/>
      <c r="P3" s="1"/>
      <c r="Q3" s="1"/>
      <c r="R3" s="1"/>
    </row>
    <row r="4" spans="1:18">
      <c r="A4" s="2"/>
      <c r="B4" s="2"/>
      <c r="C4" s="2"/>
      <c r="D4" s="2"/>
      <c r="E4" s="2"/>
      <c r="F4" s="2"/>
      <c r="G4" s="2"/>
      <c r="H4" s="2"/>
      <c r="I4" s="2"/>
      <c r="J4" s="2"/>
      <c r="K4" s="2"/>
      <c r="L4" s="2"/>
      <c r="M4" s="2"/>
      <c r="N4" s="22"/>
      <c r="O4" s="2"/>
      <c r="P4" s="2"/>
      <c r="Q4" s="2"/>
      <c r="R4" s="2"/>
    </row>
    <row r="5" spans="1:18" ht="21">
      <c r="A5" s="2"/>
      <c r="B5" s="4" t="s">
        <v>38</v>
      </c>
      <c r="C5" s="23"/>
      <c r="D5" s="23"/>
      <c r="E5" s="2"/>
      <c r="F5" s="4"/>
      <c r="G5" s="23"/>
      <c r="H5" s="23"/>
      <c r="M5" s="2"/>
      <c r="N5" s="22"/>
      <c r="O5" s="2"/>
      <c r="P5" s="2"/>
      <c r="R5" s="2"/>
    </row>
    <row r="6" spans="1:18" ht="21">
      <c r="A6" s="2"/>
      <c r="B6" s="24" t="s">
        <v>39</v>
      </c>
      <c r="C6" s="25" t="s">
        <v>40</v>
      </c>
      <c r="D6" s="26"/>
      <c r="E6" s="2"/>
      <c r="F6" s="2"/>
      <c r="G6" s="2"/>
      <c r="H6" s="2"/>
      <c r="J6" s="2"/>
      <c r="K6" s="2"/>
      <c r="L6" s="2"/>
      <c r="M6" s="2"/>
      <c r="N6" s="22"/>
      <c r="O6" s="2"/>
      <c r="P6" s="2"/>
      <c r="R6" s="2"/>
    </row>
    <row r="7" spans="1:18" ht="21">
      <c r="A7" s="2"/>
      <c r="B7" s="24" t="s">
        <v>39</v>
      </c>
      <c r="C7" s="25" t="s">
        <v>41</v>
      </c>
      <c r="D7" s="26"/>
      <c r="E7" s="2"/>
      <c r="F7" s="2"/>
      <c r="G7" s="2"/>
      <c r="H7" s="2"/>
      <c r="J7" s="2"/>
      <c r="K7" s="2"/>
      <c r="L7" s="2"/>
      <c r="M7" s="2"/>
      <c r="N7" s="22"/>
      <c r="O7" s="2"/>
      <c r="P7" s="2"/>
      <c r="R7" s="2"/>
    </row>
    <row r="8" spans="1:18" ht="21">
      <c r="A8" s="2"/>
      <c r="B8" s="24" t="s">
        <v>42</v>
      </c>
      <c r="C8" s="25" t="s">
        <v>43</v>
      </c>
      <c r="D8" s="26"/>
      <c r="E8" s="2"/>
      <c r="F8" s="2"/>
      <c r="G8" s="2"/>
      <c r="H8" s="2"/>
      <c r="J8" s="2"/>
      <c r="K8" s="2"/>
      <c r="L8" s="2"/>
      <c r="M8" s="2"/>
      <c r="N8" s="22"/>
      <c r="O8" s="2"/>
      <c r="P8" s="2"/>
      <c r="R8" s="2"/>
    </row>
    <row r="9" spans="1:18" ht="21">
      <c r="A9" s="2"/>
      <c r="B9" s="24" t="s">
        <v>44</v>
      </c>
      <c r="C9" s="27" t="s">
        <v>45</v>
      </c>
      <c r="D9" s="26"/>
      <c r="E9" s="2"/>
      <c r="F9" s="2"/>
      <c r="G9" s="2"/>
      <c r="H9" s="2"/>
      <c r="J9" s="2"/>
      <c r="K9" s="2"/>
      <c r="L9" s="2"/>
      <c r="M9" s="2"/>
      <c r="N9" s="22"/>
      <c r="O9" s="2"/>
      <c r="P9" s="2"/>
      <c r="R9" s="2"/>
    </row>
    <row r="10" spans="1:18" ht="21">
      <c r="A10" s="2"/>
      <c r="B10" s="24" t="s">
        <v>44</v>
      </c>
      <c r="C10" s="27" t="s">
        <v>46</v>
      </c>
      <c r="D10" s="26"/>
      <c r="E10" s="2"/>
      <c r="F10" s="2"/>
      <c r="G10" s="2"/>
      <c r="H10" s="2"/>
      <c r="J10" s="2"/>
      <c r="K10" s="2"/>
      <c r="L10" s="2"/>
      <c r="M10" s="2"/>
      <c r="N10" s="22"/>
      <c r="O10" s="2"/>
      <c r="P10" s="2"/>
      <c r="R10" s="2"/>
    </row>
    <row r="11" spans="1:18" ht="21">
      <c r="A11" s="2"/>
      <c r="B11" s="24" t="s">
        <v>47</v>
      </c>
      <c r="C11" s="27" t="s">
        <v>48</v>
      </c>
      <c r="D11" s="26"/>
      <c r="E11" s="2"/>
      <c r="F11" s="2"/>
      <c r="G11" s="2"/>
      <c r="H11" s="2"/>
      <c r="J11" s="2"/>
      <c r="K11" s="2"/>
      <c r="L11" s="2"/>
      <c r="M11" s="2"/>
      <c r="N11" s="22"/>
      <c r="O11" s="2"/>
      <c r="P11" s="2"/>
      <c r="R11" s="2"/>
    </row>
    <row r="12" spans="1:18" ht="31.5">
      <c r="A12" s="2"/>
      <c r="B12" s="24" t="s">
        <v>47</v>
      </c>
      <c r="C12" s="27" t="s">
        <v>49</v>
      </c>
      <c r="D12" s="26"/>
      <c r="E12" s="2"/>
      <c r="F12" s="4" t="s">
        <v>50</v>
      </c>
      <c r="G12" s="23"/>
      <c r="H12" s="23"/>
      <c r="J12" s="2"/>
      <c r="K12" s="2"/>
      <c r="L12" s="2"/>
      <c r="M12" s="2"/>
      <c r="N12" s="22"/>
      <c r="O12" s="2"/>
      <c r="P12" s="2"/>
      <c r="R12" s="2"/>
    </row>
    <row r="13" spans="1:18" ht="21">
      <c r="A13" s="2"/>
      <c r="B13" s="24"/>
      <c r="C13" s="28"/>
      <c r="D13" s="26"/>
      <c r="E13" s="2"/>
      <c r="F13" s="2"/>
      <c r="G13" s="29" t="s">
        <v>51</v>
      </c>
      <c r="H13" s="29" t="s">
        <v>52</v>
      </c>
      <c r="J13" s="2"/>
      <c r="K13" s="2"/>
      <c r="L13" s="2"/>
      <c r="M13" s="2"/>
      <c r="N13" s="22"/>
      <c r="O13" s="2"/>
      <c r="P13" s="2"/>
      <c r="R13" s="2"/>
    </row>
    <row r="14" spans="1:18">
      <c r="A14" s="2"/>
      <c r="B14" s="24"/>
      <c r="C14" s="28"/>
      <c r="D14" s="30"/>
      <c r="E14" s="2"/>
      <c r="F14" s="31" t="s">
        <v>53</v>
      </c>
      <c r="G14" s="32">
        <v>0</v>
      </c>
      <c r="H14" s="32">
        <v>0</v>
      </c>
      <c r="L14" s="33"/>
      <c r="M14" s="2"/>
      <c r="N14" s="22"/>
      <c r="O14" s="2"/>
      <c r="P14" s="2"/>
      <c r="R14" s="2"/>
    </row>
    <row r="15" spans="1:18">
      <c r="A15" s="2"/>
      <c r="B15" s="24" t="s">
        <v>54</v>
      </c>
      <c r="C15" s="34">
        <v>5000000</v>
      </c>
      <c r="D15" s="30"/>
      <c r="E15" s="2"/>
      <c r="F15" s="35" t="s">
        <v>55</v>
      </c>
      <c r="G15" s="32">
        <v>0.2</v>
      </c>
      <c r="H15" s="32">
        <v>0.2</v>
      </c>
      <c r="L15" s="36"/>
      <c r="M15" s="2"/>
      <c r="N15" s="22"/>
      <c r="O15" s="2"/>
      <c r="P15" s="2"/>
      <c r="R15" s="2"/>
    </row>
    <row r="16" spans="1:18">
      <c r="A16" s="2"/>
      <c r="B16" s="24" t="s">
        <v>56</v>
      </c>
      <c r="C16" s="37">
        <f>J33+J45</f>
        <v>1000000</v>
      </c>
      <c r="D16" s="30"/>
      <c r="E16" s="2"/>
      <c r="F16" s="35" t="s">
        <v>57</v>
      </c>
      <c r="G16" s="38">
        <v>4000000</v>
      </c>
      <c r="H16" s="38">
        <v>4000000</v>
      </c>
      <c r="L16" s="36"/>
      <c r="M16" s="2"/>
      <c r="N16" s="22"/>
      <c r="O16" s="2"/>
      <c r="P16" s="2"/>
      <c r="R16" s="2"/>
    </row>
    <row r="17" spans="1:18" ht="15.75" customHeight="1">
      <c r="A17" s="2"/>
      <c r="B17" s="24" t="s">
        <v>58</v>
      </c>
      <c r="C17" s="37">
        <f>G23</f>
        <v>375000</v>
      </c>
      <c r="D17" s="30"/>
      <c r="E17" s="2"/>
      <c r="F17" s="35" t="s">
        <v>59</v>
      </c>
      <c r="G17" s="39">
        <v>44129</v>
      </c>
      <c r="H17" s="40">
        <v>44195</v>
      </c>
      <c r="I17" s="37"/>
      <c r="J17" s="2"/>
      <c r="K17" s="2"/>
      <c r="L17" s="2"/>
      <c r="N17" s="22"/>
    </row>
    <row r="18" spans="1:18" ht="15.75" customHeight="1">
      <c r="A18" s="2"/>
      <c r="B18" s="24" t="s">
        <v>60</v>
      </c>
      <c r="C18" s="37">
        <f>H23</f>
        <v>250000</v>
      </c>
      <c r="D18" s="30"/>
      <c r="E18" s="2"/>
      <c r="F18" s="35" t="s">
        <v>61</v>
      </c>
      <c r="G18" s="41">
        <f t="shared" ref="G18:H18" si="0">SUMIF($C$63:$C$72,G13,$E$63:$E$72)</f>
        <v>300000</v>
      </c>
      <c r="H18" s="41">
        <f t="shared" si="0"/>
        <v>200000</v>
      </c>
      <c r="I18" s="37"/>
      <c r="N18" s="22"/>
    </row>
    <row r="19" spans="1:18" ht="15.75" customHeight="1">
      <c r="A19" s="2"/>
      <c r="B19" s="35" t="s">
        <v>62</v>
      </c>
      <c r="C19" s="42" t="s">
        <v>63</v>
      </c>
      <c r="D19" s="30"/>
      <c r="E19" s="2"/>
      <c r="F19" s="30" t="s">
        <v>64</v>
      </c>
      <c r="G19" s="41">
        <f>G18*(1+(G14*(investment_date-G17)/365))</f>
        <v>300000</v>
      </c>
      <c r="H19" s="41">
        <f>H18*(1+(H14*(investment_date-H17)/365))</f>
        <v>200000</v>
      </c>
      <c r="J19" s="2"/>
      <c r="K19" s="2"/>
      <c r="L19" s="2"/>
      <c r="N19" s="22"/>
      <c r="R19" s="2"/>
    </row>
    <row r="20" spans="1:18" ht="15.75" customHeight="1">
      <c r="A20" s="2"/>
      <c r="B20" s="24" t="s">
        <v>65</v>
      </c>
      <c r="C20" s="37">
        <f>IF(CN_conversion_method=Lists!B25,SUM(C15:C18),IF(CN_conversion_method=Lists!B26,SUM(C15:C16),IF(CN_conversion_method=Lists!B27,SUM(C15:C16)+SUM(G18:H18),"Error")))</f>
        <v>6000000</v>
      </c>
      <c r="D20" s="30"/>
      <c r="E20" s="2"/>
      <c r="F20" s="35" t="s">
        <v>66</v>
      </c>
      <c r="G20" s="41">
        <f t="shared" ref="G20:H20" si="1">G19/(1-G15)</f>
        <v>375000</v>
      </c>
      <c r="H20" s="41">
        <f t="shared" si="1"/>
        <v>250000</v>
      </c>
      <c r="N20" s="22"/>
      <c r="R20" s="2"/>
    </row>
    <row r="21" spans="1:18" ht="15.75" customHeight="1">
      <c r="A21" s="2"/>
      <c r="B21" s="24" t="s">
        <v>67</v>
      </c>
      <c r="C21" s="37">
        <f>C20-SUM(C16:C18)</f>
        <v>4375000</v>
      </c>
      <c r="D21" s="30"/>
      <c r="E21" s="2"/>
      <c r="F21" s="35" t="s">
        <v>68</v>
      </c>
      <c r="G21" s="41">
        <f t="shared" ref="G21:H21" si="2">IF(G16=0,0,G19/(G16/$C$15))</f>
        <v>375000</v>
      </c>
      <c r="H21" s="41">
        <f t="shared" si="2"/>
        <v>250000</v>
      </c>
      <c r="N21" s="22"/>
      <c r="R21" s="2"/>
    </row>
    <row r="22" spans="1:18" ht="15.75" customHeight="1">
      <c r="A22" s="2"/>
      <c r="B22" s="24" t="s">
        <v>69</v>
      </c>
      <c r="C22" s="43">
        <v>0.1</v>
      </c>
      <c r="D22" s="30"/>
      <c r="E22" s="2"/>
      <c r="F22" s="35" t="s">
        <v>70</v>
      </c>
      <c r="G22" s="41" t="str">
        <f t="shared" ref="G22:H22" si="3">IF(G20&lt;G21,"Cap","Disc")</f>
        <v>Disc</v>
      </c>
      <c r="H22" s="41" t="str">
        <f t="shared" si="3"/>
        <v>Disc</v>
      </c>
      <c r="N22" s="22"/>
      <c r="R22" s="2"/>
    </row>
    <row r="23" spans="1:18" ht="15.75" customHeight="1">
      <c r="A23" s="2"/>
      <c r="B23" s="24" t="s">
        <v>71</v>
      </c>
      <c r="C23" s="42" t="s">
        <v>72</v>
      </c>
      <c r="D23" s="30"/>
      <c r="E23" s="44" t="str">
        <f>IF(AND(ROUND(IF(C23="% includes current",Lists!D48,IF(C23="% additional",Lists!D47,"Error")),0)&lt;0,C23="% includes current"),"Post &gt; Current","")</f>
        <v/>
      </c>
      <c r="F23" s="35" t="s">
        <v>73</v>
      </c>
      <c r="G23" s="41">
        <f t="shared" ref="G23:H23" si="4">MAX(G20:G21)</f>
        <v>375000</v>
      </c>
      <c r="H23" s="41">
        <f t="shared" si="4"/>
        <v>250000</v>
      </c>
      <c r="M23" s="2"/>
      <c r="N23" s="22"/>
      <c r="O23" s="2"/>
      <c r="P23" s="2"/>
      <c r="R23" s="2"/>
    </row>
    <row r="24" spans="1:18" ht="15.75" customHeight="1">
      <c r="A24" s="2"/>
      <c r="B24" s="24" t="s">
        <v>74</v>
      </c>
      <c r="C24" s="45">
        <f>O84</f>
        <v>174834</v>
      </c>
      <c r="D24" s="30"/>
      <c r="E24" s="2"/>
      <c r="F24" s="35" t="s">
        <v>75</v>
      </c>
      <c r="G24" s="46">
        <f>issue_share_price</f>
        <v>3.4318</v>
      </c>
      <c r="H24" s="41">
        <f>issue_share_price</f>
        <v>3.4318</v>
      </c>
      <c r="I24" s="2"/>
      <c r="J24" s="2"/>
      <c r="M24" s="2"/>
      <c r="N24" s="22"/>
    </row>
    <row r="25" spans="1:18" ht="15.75" customHeight="1">
      <c r="A25" s="2"/>
      <c r="B25" s="24" t="s">
        <v>76</v>
      </c>
      <c r="C25" s="37">
        <f>C21-N84</f>
        <v>3775004.68</v>
      </c>
      <c r="D25" s="30"/>
      <c r="E25" s="2"/>
      <c r="F25" s="35" t="s">
        <v>77</v>
      </c>
      <c r="G25" s="46">
        <f t="shared" ref="G25:H25" si="5">IF(G22="Disc", G24*(1-G15),G24 * G16 / $C15)</f>
        <v>2.7454400000000003</v>
      </c>
      <c r="H25" s="46">
        <f t="shared" si="5"/>
        <v>2.7454400000000003</v>
      </c>
      <c r="M25" s="2"/>
      <c r="N25" s="22"/>
    </row>
    <row r="26" spans="1:18" ht="15.75" customHeight="1">
      <c r="A26" s="2"/>
      <c r="B26" s="24" t="s">
        <v>78</v>
      </c>
      <c r="C26" s="46">
        <f>IF(E87=0,"N/a",ROUND(C21/(E87+O84),4))</f>
        <v>3.4318</v>
      </c>
      <c r="D26" s="30"/>
      <c r="E26" s="2"/>
      <c r="F26" s="35" t="s">
        <v>79</v>
      </c>
      <c r="G26" s="45">
        <f t="shared" ref="G26:H26" si="6">G19/G25</f>
        <v>109272.10210385219</v>
      </c>
      <c r="H26" s="45">
        <f t="shared" si="6"/>
        <v>72848.068069234796</v>
      </c>
      <c r="M26" s="2"/>
      <c r="N26" s="22"/>
      <c r="O26" s="2"/>
      <c r="P26" s="2"/>
      <c r="R26" s="2"/>
    </row>
    <row r="27" spans="1:18" ht="15.75" customHeight="1">
      <c r="A27" s="2"/>
      <c r="B27" s="24" t="s">
        <v>80</v>
      </c>
      <c r="C27" s="40">
        <v>44377</v>
      </c>
      <c r="D27" s="2"/>
      <c r="E27" s="2"/>
      <c r="M27" s="2"/>
      <c r="N27" s="22"/>
    </row>
    <row r="28" spans="1:18" ht="15.75" customHeight="1">
      <c r="A28" s="2"/>
      <c r="B28" s="24"/>
      <c r="C28" s="2"/>
      <c r="D28" s="2"/>
      <c r="E28" s="2"/>
      <c r="M28" s="2"/>
      <c r="N28" s="22"/>
    </row>
    <row r="29" spans="1:18" ht="23.25" customHeight="1">
      <c r="A29" s="2"/>
      <c r="B29" s="4" t="s">
        <v>8</v>
      </c>
      <c r="C29" s="47"/>
      <c r="D29" s="47"/>
      <c r="E29" s="47"/>
      <c r="F29" s="47"/>
      <c r="G29" s="47"/>
      <c r="H29" s="47"/>
      <c r="I29" s="47"/>
      <c r="J29" s="47"/>
      <c r="K29" s="47"/>
      <c r="L29" s="47"/>
      <c r="M29" s="47"/>
      <c r="N29" s="48"/>
      <c r="O29" s="47"/>
      <c r="P29" s="47"/>
      <c r="Q29" s="47"/>
      <c r="R29" s="2"/>
    </row>
    <row r="30" spans="1:18" ht="25.5" customHeight="1">
      <c r="A30" s="2"/>
      <c r="B30" s="49"/>
      <c r="C30" s="50"/>
      <c r="D30" s="2"/>
      <c r="E30" s="88" t="s">
        <v>81</v>
      </c>
      <c r="F30" s="89"/>
      <c r="G30" s="89"/>
      <c r="H30" s="90"/>
      <c r="J30" s="88" t="s">
        <v>82</v>
      </c>
      <c r="K30" s="89"/>
      <c r="L30" s="90"/>
      <c r="N30" s="91" t="s">
        <v>83</v>
      </c>
      <c r="O30" s="89"/>
      <c r="P30" s="89"/>
      <c r="Q30" s="90"/>
      <c r="R30" s="2"/>
    </row>
    <row r="31" spans="1:18" ht="51.75" customHeight="1">
      <c r="A31" s="2"/>
      <c r="B31" s="51" t="s">
        <v>84</v>
      </c>
      <c r="C31" s="51" t="s">
        <v>85</v>
      </c>
      <c r="D31" s="30"/>
      <c r="E31" s="52" t="s">
        <v>86</v>
      </c>
      <c r="F31" s="52" t="s">
        <v>87</v>
      </c>
      <c r="G31" s="52" t="s">
        <v>88</v>
      </c>
      <c r="H31" s="52" t="s">
        <v>89</v>
      </c>
      <c r="J31" s="52" t="s">
        <v>90</v>
      </c>
      <c r="K31" s="52" t="s">
        <v>91</v>
      </c>
      <c r="L31" s="52" t="s">
        <v>92</v>
      </c>
      <c r="N31" s="53" t="s">
        <v>93</v>
      </c>
      <c r="O31" s="52" t="s">
        <v>94</v>
      </c>
      <c r="P31" s="52" t="s">
        <v>87</v>
      </c>
      <c r="Q31" s="52" t="s">
        <v>95</v>
      </c>
      <c r="R31" s="2"/>
    </row>
    <row r="32" spans="1:18" ht="15.75" customHeight="1">
      <c r="A32" s="2"/>
      <c r="B32" s="2"/>
      <c r="C32" s="2"/>
      <c r="D32" s="2"/>
      <c r="E32" s="2"/>
      <c r="F32" s="2"/>
      <c r="G32" s="2"/>
      <c r="H32" s="2"/>
      <c r="I32" s="2"/>
      <c r="J32" s="2"/>
      <c r="K32" s="2"/>
      <c r="L32" s="2"/>
      <c r="M32" s="2"/>
      <c r="N32" s="22"/>
      <c r="O32" s="2"/>
      <c r="P32" s="2"/>
      <c r="Q32" s="2"/>
      <c r="R32" s="2"/>
    </row>
    <row r="33" spans="1:18" ht="15.75" customHeight="1">
      <c r="A33" s="2"/>
      <c r="B33" s="30" t="s">
        <v>96</v>
      </c>
      <c r="C33" s="45"/>
      <c r="D33" s="30"/>
      <c r="E33" s="54">
        <f t="shared" ref="E33:H33" si="7">SUM(E34:E43)</f>
        <v>1000000</v>
      </c>
      <c r="F33" s="55">
        <f t="shared" si="7"/>
        <v>1</v>
      </c>
      <c r="G33" s="55">
        <f t="shared" si="7"/>
        <v>0.90909090909090906</v>
      </c>
      <c r="H33" s="56">
        <f t="shared" si="7"/>
        <v>4545454.5454545449</v>
      </c>
      <c r="J33" s="57">
        <f t="shared" ref="J33:L33" si="8">SUM(J34:J43)</f>
        <v>0</v>
      </c>
      <c r="K33" s="54">
        <f t="shared" si="8"/>
        <v>0</v>
      </c>
      <c r="L33" s="58">
        <f t="shared" si="8"/>
        <v>0</v>
      </c>
      <c r="N33" s="59">
        <f t="shared" ref="N33:Q33" si="9">SUM(N34:N43)</f>
        <v>3431800</v>
      </c>
      <c r="O33" s="54">
        <f t="shared" si="9"/>
        <v>1000000</v>
      </c>
      <c r="P33" s="55">
        <f t="shared" si="9"/>
        <v>0.67865073375717333</v>
      </c>
      <c r="Q33" s="55">
        <f t="shared" si="9"/>
        <v>0.57196916399843056</v>
      </c>
      <c r="R33" s="2"/>
    </row>
    <row r="34" spans="1:18" ht="15.75" customHeight="1">
      <c r="A34" s="2"/>
      <c r="B34" s="60" t="s">
        <v>97</v>
      </c>
      <c r="C34" s="61" t="s">
        <v>98</v>
      </c>
      <c r="D34" s="2"/>
      <c r="E34" s="62">
        <v>1000000</v>
      </c>
      <c r="F34" s="63">
        <f t="shared" ref="F34:F43" si="10">E34/$E$86</f>
        <v>1</v>
      </c>
      <c r="G34" s="64">
        <f t="shared" ref="G34:G43" si="11">E34/$E$87</f>
        <v>0.90909090909090906</v>
      </c>
      <c r="H34" s="41">
        <f t="shared" ref="H34:H43" si="12">G34*$C$15</f>
        <v>4545454.5454545449</v>
      </c>
      <c r="J34" s="65">
        <v>0</v>
      </c>
      <c r="K34" s="45">
        <f t="shared" ref="K34:K43" si="13">ROUND(J34/issue_share_price,0)</f>
        <v>0</v>
      </c>
      <c r="L34" s="66">
        <f t="shared" ref="L34:L43" si="14">IF($K$86=0,0,K34/$K$86)</f>
        <v>0</v>
      </c>
      <c r="N34" s="67">
        <f>ROUND(O34*issue_share_price,2)</f>
        <v>3431800</v>
      </c>
      <c r="O34" s="45">
        <f t="shared" ref="O34:O43" si="15">E34+K34</f>
        <v>1000000</v>
      </c>
      <c r="P34" s="63">
        <f t="shared" ref="P34:P43" si="16">O34/$O$86</f>
        <v>0.67865073375717333</v>
      </c>
      <c r="Q34" s="63">
        <f t="shared" ref="Q34:Q43" si="17">O34/$O$87</f>
        <v>0.57196916399843056</v>
      </c>
      <c r="R34" s="2"/>
    </row>
    <row r="35" spans="1:18" ht="15.75" customHeight="1">
      <c r="A35" s="2"/>
      <c r="B35" s="60" t="s">
        <v>99</v>
      </c>
      <c r="C35" s="61" t="s">
        <v>98</v>
      </c>
      <c r="D35" s="2"/>
      <c r="E35" s="68">
        <v>0</v>
      </c>
      <c r="F35" s="63">
        <f t="shared" si="10"/>
        <v>0</v>
      </c>
      <c r="G35" s="64">
        <f t="shared" si="11"/>
        <v>0</v>
      </c>
      <c r="H35" s="41">
        <f t="shared" si="12"/>
        <v>0</v>
      </c>
      <c r="J35" s="65">
        <v>0</v>
      </c>
      <c r="K35" s="45">
        <f t="shared" si="13"/>
        <v>0</v>
      </c>
      <c r="L35" s="66">
        <f t="shared" si="14"/>
        <v>0</v>
      </c>
      <c r="N35" s="67">
        <f t="shared" ref="N35:N43" si="18">ROUNDUP(O35*issue_share_price,0)</f>
        <v>0</v>
      </c>
      <c r="O35" s="45">
        <f t="shared" si="15"/>
        <v>0</v>
      </c>
      <c r="P35" s="63">
        <f t="shared" si="16"/>
        <v>0</v>
      </c>
      <c r="Q35" s="63">
        <f t="shared" si="17"/>
        <v>0</v>
      </c>
      <c r="R35" s="2"/>
    </row>
    <row r="36" spans="1:18" ht="15.75" customHeight="1">
      <c r="A36" s="2"/>
      <c r="B36" s="60" t="s">
        <v>100</v>
      </c>
      <c r="C36" s="61" t="s">
        <v>98</v>
      </c>
      <c r="D36" s="2"/>
      <c r="E36" s="68">
        <v>0</v>
      </c>
      <c r="F36" s="63">
        <f t="shared" si="10"/>
        <v>0</v>
      </c>
      <c r="G36" s="64">
        <f t="shared" si="11"/>
        <v>0</v>
      </c>
      <c r="H36" s="41">
        <f t="shared" si="12"/>
        <v>0</v>
      </c>
      <c r="J36" s="65">
        <v>0</v>
      </c>
      <c r="K36" s="45">
        <f t="shared" si="13"/>
        <v>0</v>
      </c>
      <c r="L36" s="66">
        <f t="shared" si="14"/>
        <v>0</v>
      </c>
      <c r="N36" s="67">
        <f t="shared" si="18"/>
        <v>0</v>
      </c>
      <c r="O36" s="45">
        <f t="shared" si="15"/>
        <v>0</v>
      </c>
      <c r="P36" s="63">
        <f t="shared" si="16"/>
        <v>0</v>
      </c>
      <c r="Q36" s="63">
        <f t="shared" si="17"/>
        <v>0</v>
      </c>
      <c r="R36" s="2"/>
    </row>
    <row r="37" spans="1:18" ht="15.75" customHeight="1">
      <c r="A37" s="2"/>
      <c r="B37" s="60" t="s">
        <v>101</v>
      </c>
      <c r="C37" s="61" t="s">
        <v>98</v>
      </c>
      <c r="D37" s="2"/>
      <c r="E37" s="68">
        <v>0</v>
      </c>
      <c r="F37" s="63">
        <f t="shared" si="10"/>
        <v>0</v>
      </c>
      <c r="G37" s="64">
        <f t="shared" si="11"/>
        <v>0</v>
      </c>
      <c r="H37" s="41">
        <f t="shared" si="12"/>
        <v>0</v>
      </c>
      <c r="J37" s="65">
        <v>0</v>
      </c>
      <c r="K37" s="45">
        <f t="shared" si="13"/>
        <v>0</v>
      </c>
      <c r="L37" s="66">
        <f t="shared" si="14"/>
        <v>0</v>
      </c>
      <c r="N37" s="67">
        <f t="shared" si="18"/>
        <v>0</v>
      </c>
      <c r="O37" s="45">
        <f t="shared" si="15"/>
        <v>0</v>
      </c>
      <c r="P37" s="63">
        <f t="shared" si="16"/>
        <v>0</v>
      </c>
      <c r="Q37" s="63">
        <f t="shared" si="17"/>
        <v>0</v>
      </c>
      <c r="R37" s="2"/>
    </row>
    <row r="38" spans="1:18" ht="15.75" customHeight="1">
      <c r="A38" s="2"/>
      <c r="B38" s="60" t="s">
        <v>102</v>
      </c>
      <c r="C38" s="61" t="s">
        <v>98</v>
      </c>
      <c r="D38" s="2"/>
      <c r="E38" s="68">
        <v>0</v>
      </c>
      <c r="F38" s="63">
        <f t="shared" si="10"/>
        <v>0</v>
      </c>
      <c r="G38" s="64">
        <f t="shared" si="11"/>
        <v>0</v>
      </c>
      <c r="H38" s="41">
        <f t="shared" si="12"/>
        <v>0</v>
      </c>
      <c r="J38" s="65">
        <v>0</v>
      </c>
      <c r="K38" s="45">
        <f t="shared" si="13"/>
        <v>0</v>
      </c>
      <c r="L38" s="66">
        <f t="shared" si="14"/>
        <v>0</v>
      </c>
      <c r="N38" s="67">
        <f t="shared" si="18"/>
        <v>0</v>
      </c>
      <c r="O38" s="45">
        <f t="shared" si="15"/>
        <v>0</v>
      </c>
      <c r="P38" s="63">
        <f t="shared" si="16"/>
        <v>0</v>
      </c>
      <c r="Q38" s="63">
        <f t="shared" si="17"/>
        <v>0</v>
      </c>
      <c r="R38" s="2"/>
    </row>
    <row r="39" spans="1:18" ht="15.75" customHeight="1">
      <c r="A39" s="2"/>
      <c r="B39" s="60" t="s">
        <v>103</v>
      </c>
      <c r="C39" s="61" t="s">
        <v>98</v>
      </c>
      <c r="D39" s="2"/>
      <c r="E39" s="68">
        <v>0</v>
      </c>
      <c r="F39" s="63">
        <f t="shared" si="10"/>
        <v>0</v>
      </c>
      <c r="G39" s="64">
        <f t="shared" si="11"/>
        <v>0</v>
      </c>
      <c r="H39" s="41">
        <f t="shared" si="12"/>
        <v>0</v>
      </c>
      <c r="J39" s="65">
        <v>0</v>
      </c>
      <c r="K39" s="45">
        <f t="shared" si="13"/>
        <v>0</v>
      </c>
      <c r="L39" s="66">
        <f t="shared" si="14"/>
        <v>0</v>
      </c>
      <c r="N39" s="67">
        <f t="shared" si="18"/>
        <v>0</v>
      </c>
      <c r="O39" s="45">
        <f t="shared" si="15"/>
        <v>0</v>
      </c>
      <c r="P39" s="63">
        <f t="shared" si="16"/>
        <v>0</v>
      </c>
      <c r="Q39" s="63">
        <f t="shared" si="17"/>
        <v>0</v>
      </c>
      <c r="R39" s="2"/>
    </row>
    <row r="40" spans="1:18" ht="15.75" customHeight="1">
      <c r="A40" s="2"/>
      <c r="B40" s="60" t="s">
        <v>104</v>
      </c>
      <c r="C40" s="61" t="s">
        <v>98</v>
      </c>
      <c r="D40" s="2"/>
      <c r="E40" s="68">
        <v>0</v>
      </c>
      <c r="F40" s="63">
        <f t="shared" si="10"/>
        <v>0</v>
      </c>
      <c r="G40" s="64">
        <f t="shared" si="11"/>
        <v>0</v>
      </c>
      <c r="H40" s="41">
        <f t="shared" si="12"/>
        <v>0</v>
      </c>
      <c r="J40" s="65">
        <v>0</v>
      </c>
      <c r="K40" s="45">
        <f t="shared" si="13"/>
        <v>0</v>
      </c>
      <c r="L40" s="66">
        <f t="shared" si="14"/>
        <v>0</v>
      </c>
      <c r="N40" s="67">
        <f t="shared" si="18"/>
        <v>0</v>
      </c>
      <c r="O40" s="45">
        <f t="shared" si="15"/>
        <v>0</v>
      </c>
      <c r="P40" s="63">
        <f t="shared" si="16"/>
        <v>0</v>
      </c>
      <c r="Q40" s="63">
        <f t="shared" si="17"/>
        <v>0</v>
      </c>
      <c r="R40" s="2"/>
    </row>
    <row r="41" spans="1:18" ht="15.75" customHeight="1">
      <c r="A41" s="2"/>
      <c r="B41" s="60" t="s">
        <v>105</v>
      </c>
      <c r="C41" s="61" t="s">
        <v>98</v>
      </c>
      <c r="D41" s="2"/>
      <c r="E41" s="68">
        <v>0</v>
      </c>
      <c r="F41" s="63">
        <f t="shared" si="10"/>
        <v>0</v>
      </c>
      <c r="G41" s="64">
        <f t="shared" si="11"/>
        <v>0</v>
      </c>
      <c r="H41" s="41">
        <f t="shared" si="12"/>
        <v>0</v>
      </c>
      <c r="J41" s="65">
        <v>0</v>
      </c>
      <c r="K41" s="45">
        <f t="shared" si="13"/>
        <v>0</v>
      </c>
      <c r="L41" s="66">
        <f t="shared" si="14"/>
        <v>0</v>
      </c>
      <c r="N41" s="67">
        <f t="shared" si="18"/>
        <v>0</v>
      </c>
      <c r="O41" s="45">
        <f t="shared" si="15"/>
        <v>0</v>
      </c>
      <c r="P41" s="63">
        <f t="shared" si="16"/>
        <v>0</v>
      </c>
      <c r="Q41" s="63">
        <f t="shared" si="17"/>
        <v>0</v>
      </c>
      <c r="R41" s="2"/>
    </row>
    <row r="42" spans="1:18" ht="15.75" customHeight="1">
      <c r="A42" s="2"/>
      <c r="B42" s="60" t="s">
        <v>106</v>
      </c>
      <c r="C42" s="61" t="s">
        <v>98</v>
      </c>
      <c r="D42" s="2"/>
      <c r="E42" s="68">
        <v>0</v>
      </c>
      <c r="F42" s="63">
        <f t="shared" si="10"/>
        <v>0</v>
      </c>
      <c r="G42" s="64">
        <f t="shared" si="11"/>
        <v>0</v>
      </c>
      <c r="H42" s="41">
        <f t="shared" si="12"/>
        <v>0</v>
      </c>
      <c r="J42" s="65">
        <v>0</v>
      </c>
      <c r="K42" s="45">
        <f t="shared" si="13"/>
        <v>0</v>
      </c>
      <c r="L42" s="66">
        <f t="shared" si="14"/>
        <v>0</v>
      </c>
      <c r="N42" s="67">
        <f t="shared" si="18"/>
        <v>0</v>
      </c>
      <c r="O42" s="45">
        <f t="shared" si="15"/>
        <v>0</v>
      </c>
      <c r="P42" s="63">
        <f t="shared" si="16"/>
        <v>0</v>
      </c>
      <c r="Q42" s="63">
        <f t="shared" si="17"/>
        <v>0</v>
      </c>
      <c r="R42" s="2"/>
    </row>
    <row r="43" spans="1:18" ht="15.75" customHeight="1">
      <c r="A43" s="2"/>
      <c r="B43" s="60" t="s">
        <v>107</v>
      </c>
      <c r="C43" s="61" t="s">
        <v>98</v>
      </c>
      <c r="D43" s="2"/>
      <c r="E43" s="68">
        <v>0</v>
      </c>
      <c r="F43" s="63">
        <f t="shared" si="10"/>
        <v>0</v>
      </c>
      <c r="G43" s="64">
        <f t="shared" si="11"/>
        <v>0</v>
      </c>
      <c r="H43" s="41">
        <f t="shared" si="12"/>
        <v>0</v>
      </c>
      <c r="J43" s="65">
        <v>0</v>
      </c>
      <c r="K43" s="45">
        <f t="shared" si="13"/>
        <v>0</v>
      </c>
      <c r="L43" s="66">
        <f t="shared" si="14"/>
        <v>0</v>
      </c>
      <c r="N43" s="67">
        <f t="shared" si="18"/>
        <v>0</v>
      </c>
      <c r="O43" s="45">
        <f t="shared" si="15"/>
        <v>0</v>
      </c>
      <c r="P43" s="63">
        <f t="shared" si="16"/>
        <v>0</v>
      </c>
      <c r="Q43" s="63">
        <f t="shared" si="17"/>
        <v>0</v>
      </c>
      <c r="R43" s="2"/>
    </row>
    <row r="44" spans="1:18" ht="15.75" customHeight="1">
      <c r="A44" s="2"/>
      <c r="B44" s="2"/>
      <c r="C44" s="2"/>
      <c r="D44" s="2"/>
      <c r="E44" s="2"/>
      <c r="F44" s="63"/>
      <c r="G44" s="63"/>
      <c r="H44" s="2"/>
      <c r="I44" s="2"/>
      <c r="J44" s="2"/>
      <c r="K44" s="2"/>
      <c r="L44" s="2"/>
      <c r="M44" s="2"/>
      <c r="N44" s="67"/>
      <c r="O44" s="2"/>
      <c r="P44" s="63"/>
      <c r="Q44" s="63"/>
      <c r="R44" s="2"/>
    </row>
    <row r="45" spans="1:18" ht="15.75" customHeight="1">
      <c r="A45" s="2"/>
      <c r="B45" s="30" t="s">
        <v>108</v>
      </c>
      <c r="C45" s="69"/>
      <c r="D45" s="2"/>
      <c r="E45" s="2"/>
      <c r="F45" s="55">
        <f t="shared" ref="F45:H45" si="19">SUM(F46:F60)</f>
        <v>0</v>
      </c>
      <c r="G45" s="55">
        <f t="shared" si="19"/>
        <v>0</v>
      </c>
      <c r="H45" s="56">
        <f t="shared" si="19"/>
        <v>0</v>
      </c>
      <c r="I45" s="66"/>
      <c r="J45" s="57">
        <f t="shared" ref="J45:L45" si="20">SUM(J46:J60)</f>
        <v>1000000</v>
      </c>
      <c r="K45" s="54">
        <f t="shared" si="20"/>
        <v>291392</v>
      </c>
      <c r="L45" s="58">
        <f t="shared" si="20"/>
        <v>1</v>
      </c>
      <c r="N45" s="59">
        <f t="shared" ref="N45:Q45" si="21">SUM(N46:N60)</f>
        <v>999999.07</v>
      </c>
      <c r="O45" s="54">
        <f t="shared" si="21"/>
        <v>291392</v>
      </c>
      <c r="P45" s="55">
        <f t="shared" si="21"/>
        <v>0.19775339461097025</v>
      </c>
      <c r="Q45" s="55">
        <f t="shared" si="21"/>
        <v>0.16666723863583066</v>
      </c>
      <c r="R45" s="2"/>
    </row>
    <row r="46" spans="1:18" ht="15.75" customHeight="1">
      <c r="A46" s="2"/>
      <c r="B46" s="60" t="s">
        <v>109</v>
      </c>
      <c r="C46" s="61" t="s">
        <v>110</v>
      </c>
      <c r="D46" s="2"/>
      <c r="E46" s="2"/>
      <c r="F46" s="63">
        <f t="shared" ref="F46:F60" si="22">E46/$E$86</f>
        <v>0</v>
      </c>
      <c r="G46" s="64">
        <f t="shared" ref="G46:G60" si="23">E46/$E$87</f>
        <v>0</v>
      </c>
      <c r="H46" s="41">
        <f t="shared" ref="H46:H60" si="24">G46*$C$15</f>
        <v>0</v>
      </c>
      <c r="I46" s="70"/>
      <c r="J46" s="34">
        <v>1000000</v>
      </c>
      <c r="K46" s="45">
        <f t="shared" ref="K46:K60" si="25">ROUND(J46/issue_share_price,0)</f>
        <v>291392</v>
      </c>
      <c r="L46" s="66">
        <f t="shared" ref="L46:L60" si="26">IF($K$86=0,0,K46/$K$86)</f>
        <v>1</v>
      </c>
      <c r="N46" s="67">
        <f t="shared" ref="N46:N60" si="27">ROUND(O46*issue_share_price,2)</f>
        <v>999999.07</v>
      </c>
      <c r="O46" s="45">
        <f t="shared" ref="O46:O60" si="28">K46</f>
        <v>291392</v>
      </c>
      <c r="P46" s="63">
        <f t="shared" ref="P46:P60" si="29">O46/$O$86</f>
        <v>0.19775339461097025</v>
      </c>
      <c r="Q46" s="63">
        <f t="shared" ref="Q46:Q60" si="30">O46/$O$87</f>
        <v>0.16666723863583066</v>
      </c>
      <c r="R46" s="2"/>
    </row>
    <row r="47" spans="1:18" ht="15.75" customHeight="1">
      <c r="A47" s="2"/>
      <c r="B47" s="60" t="s">
        <v>111</v>
      </c>
      <c r="C47" s="61" t="s">
        <v>98</v>
      </c>
      <c r="D47" s="2"/>
      <c r="E47" s="2"/>
      <c r="F47" s="63">
        <f t="shared" si="22"/>
        <v>0</v>
      </c>
      <c r="G47" s="64">
        <f t="shared" si="23"/>
        <v>0</v>
      </c>
      <c r="H47" s="41">
        <f t="shared" si="24"/>
        <v>0</v>
      </c>
      <c r="I47" s="70"/>
      <c r="J47" s="65">
        <v>0</v>
      </c>
      <c r="K47" s="45">
        <f t="shared" si="25"/>
        <v>0</v>
      </c>
      <c r="L47" s="66">
        <f t="shared" si="26"/>
        <v>0</v>
      </c>
      <c r="N47" s="67">
        <f t="shared" si="27"/>
        <v>0</v>
      </c>
      <c r="O47" s="45">
        <f t="shared" si="28"/>
        <v>0</v>
      </c>
      <c r="P47" s="63">
        <f t="shared" si="29"/>
        <v>0</v>
      </c>
      <c r="Q47" s="63">
        <f t="shared" si="30"/>
        <v>0</v>
      </c>
      <c r="R47" s="2"/>
    </row>
    <row r="48" spans="1:18" ht="15.75" customHeight="1">
      <c r="A48" s="2"/>
      <c r="B48" s="60" t="s">
        <v>112</v>
      </c>
      <c r="C48" s="61" t="s">
        <v>98</v>
      </c>
      <c r="D48" s="2"/>
      <c r="E48" s="2"/>
      <c r="F48" s="63">
        <f t="shared" si="22"/>
        <v>0</v>
      </c>
      <c r="G48" s="64">
        <f t="shared" si="23"/>
        <v>0</v>
      </c>
      <c r="H48" s="41">
        <f t="shared" si="24"/>
        <v>0</v>
      </c>
      <c r="I48" s="70"/>
      <c r="J48" s="65">
        <v>0</v>
      </c>
      <c r="K48" s="45">
        <f t="shared" si="25"/>
        <v>0</v>
      </c>
      <c r="L48" s="66">
        <f t="shared" si="26"/>
        <v>0</v>
      </c>
      <c r="N48" s="67">
        <f t="shared" si="27"/>
        <v>0</v>
      </c>
      <c r="O48" s="45">
        <f t="shared" si="28"/>
        <v>0</v>
      </c>
      <c r="P48" s="63">
        <f t="shared" si="29"/>
        <v>0</v>
      </c>
      <c r="Q48" s="63">
        <f t="shared" si="30"/>
        <v>0</v>
      </c>
      <c r="R48" s="2"/>
    </row>
    <row r="49" spans="1:18" ht="15.75" customHeight="1">
      <c r="A49" s="2"/>
      <c r="B49" s="60" t="s">
        <v>113</v>
      </c>
      <c r="C49" s="61" t="s">
        <v>98</v>
      </c>
      <c r="D49" s="2"/>
      <c r="E49" s="2"/>
      <c r="F49" s="63">
        <f t="shared" si="22"/>
        <v>0</v>
      </c>
      <c r="G49" s="64">
        <f t="shared" si="23"/>
        <v>0</v>
      </c>
      <c r="H49" s="41">
        <f t="shared" si="24"/>
        <v>0</v>
      </c>
      <c r="I49" s="70"/>
      <c r="J49" s="65">
        <v>0</v>
      </c>
      <c r="K49" s="45">
        <f t="shared" si="25"/>
        <v>0</v>
      </c>
      <c r="L49" s="66">
        <f t="shared" si="26"/>
        <v>0</v>
      </c>
      <c r="N49" s="67">
        <f t="shared" si="27"/>
        <v>0</v>
      </c>
      <c r="O49" s="45">
        <f t="shared" si="28"/>
        <v>0</v>
      </c>
      <c r="P49" s="63">
        <f t="shared" si="29"/>
        <v>0</v>
      </c>
      <c r="Q49" s="63">
        <f t="shared" si="30"/>
        <v>0</v>
      </c>
      <c r="R49" s="2"/>
    </row>
    <row r="50" spans="1:18" ht="15.75" customHeight="1">
      <c r="A50" s="2"/>
      <c r="B50" s="60" t="s">
        <v>114</v>
      </c>
      <c r="C50" s="61" t="s">
        <v>98</v>
      </c>
      <c r="D50" s="2"/>
      <c r="E50" s="2"/>
      <c r="F50" s="63">
        <f t="shared" si="22"/>
        <v>0</v>
      </c>
      <c r="G50" s="64">
        <f t="shared" si="23"/>
        <v>0</v>
      </c>
      <c r="H50" s="41">
        <f t="shared" si="24"/>
        <v>0</v>
      </c>
      <c r="I50" s="70"/>
      <c r="J50" s="65">
        <v>0</v>
      </c>
      <c r="K50" s="45">
        <f t="shared" si="25"/>
        <v>0</v>
      </c>
      <c r="L50" s="66">
        <f t="shared" si="26"/>
        <v>0</v>
      </c>
      <c r="N50" s="67">
        <f t="shared" si="27"/>
        <v>0</v>
      </c>
      <c r="O50" s="45">
        <f t="shared" si="28"/>
        <v>0</v>
      </c>
      <c r="P50" s="63">
        <f t="shared" si="29"/>
        <v>0</v>
      </c>
      <c r="Q50" s="63">
        <f t="shared" si="30"/>
        <v>0</v>
      </c>
      <c r="R50" s="2"/>
    </row>
    <row r="51" spans="1:18" ht="15.75" customHeight="1">
      <c r="A51" s="2"/>
      <c r="B51" s="60" t="s">
        <v>115</v>
      </c>
      <c r="C51" s="61" t="s">
        <v>98</v>
      </c>
      <c r="D51" s="2"/>
      <c r="E51" s="2"/>
      <c r="F51" s="63">
        <f t="shared" si="22"/>
        <v>0</v>
      </c>
      <c r="G51" s="64">
        <f t="shared" si="23"/>
        <v>0</v>
      </c>
      <c r="H51" s="41">
        <f t="shared" si="24"/>
        <v>0</v>
      </c>
      <c r="I51" s="70"/>
      <c r="J51" s="65">
        <v>0</v>
      </c>
      <c r="K51" s="45">
        <f t="shared" si="25"/>
        <v>0</v>
      </c>
      <c r="L51" s="66">
        <f t="shared" si="26"/>
        <v>0</v>
      </c>
      <c r="N51" s="67">
        <f t="shared" si="27"/>
        <v>0</v>
      </c>
      <c r="O51" s="45">
        <f t="shared" si="28"/>
        <v>0</v>
      </c>
      <c r="P51" s="63">
        <f t="shared" si="29"/>
        <v>0</v>
      </c>
      <c r="Q51" s="63">
        <f t="shared" si="30"/>
        <v>0</v>
      </c>
      <c r="R51" s="2"/>
    </row>
    <row r="52" spans="1:18" ht="15.75" customHeight="1">
      <c r="A52" s="2"/>
      <c r="B52" s="60" t="s">
        <v>116</v>
      </c>
      <c r="C52" s="61" t="s">
        <v>98</v>
      </c>
      <c r="D52" s="2"/>
      <c r="E52" s="2"/>
      <c r="F52" s="63">
        <f t="shared" si="22"/>
        <v>0</v>
      </c>
      <c r="G52" s="64">
        <f t="shared" si="23"/>
        <v>0</v>
      </c>
      <c r="H52" s="41">
        <f t="shared" si="24"/>
        <v>0</v>
      </c>
      <c r="I52" s="70"/>
      <c r="J52" s="65">
        <v>0</v>
      </c>
      <c r="K52" s="45">
        <f t="shared" si="25"/>
        <v>0</v>
      </c>
      <c r="L52" s="66">
        <f t="shared" si="26"/>
        <v>0</v>
      </c>
      <c r="N52" s="67">
        <f t="shared" si="27"/>
        <v>0</v>
      </c>
      <c r="O52" s="45">
        <f t="shared" si="28"/>
        <v>0</v>
      </c>
      <c r="P52" s="63">
        <f t="shared" si="29"/>
        <v>0</v>
      </c>
      <c r="Q52" s="63">
        <f t="shared" si="30"/>
        <v>0</v>
      </c>
      <c r="R52" s="2"/>
    </row>
    <row r="53" spans="1:18" ht="15.75" customHeight="1">
      <c r="A53" s="2"/>
      <c r="B53" s="60" t="s">
        <v>117</v>
      </c>
      <c r="C53" s="61" t="s">
        <v>98</v>
      </c>
      <c r="D53" s="2"/>
      <c r="E53" s="2"/>
      <c r="F53" s="63">
        <f t="shared" si="22"/>
        <v>0</v>
      </c>
      <c r="G53" s="64">
        <f t="shared" si="23"/>
        <v>0</v>
      </c>
      <c r="H53" s="41">
        <f t="shared" si="24"/>
        <v>0</v>
      </c>
      <c r="I53" s="70"/>
      <c r="J53" s="65">
        <v>0</v>
      </c>
      <c r="K53" s="45">
        <f t="shared" si="25"/>
        <v>0</v>
      </c>
      <c r="L53" s="66">
        <f t="shared" si="26"/>
        <v>0</v>
      </c>
      <c r="N53" s="67">
        <f t="shared" si="27"/>
        <v>0</v>
      </c>
      <c r="O53" s="45">
        <f t="shared" si="28"/>
        <v>0</v>
      </c>
      <c r="P53" s="63">
        <f t="shared" si="29"/>
        <v>0</v>
      </c>
      <c r="Q53" s="63">
        <f t="shared" si="30"/>
        <v>0</v>
      </c>
      <c r="R53" s="2"/>
    </row>
    <row r="54" spans="1:18" ht="15.75" customHeight="1">
      <c r="A54" s="2"/>
      <c r="B54" s="60" t="s">
        <v>118</v>
      </c>
      <c r="C54" s="61" t="s">
        <v>98</v>
      </c>
      <c r="D54" s="2"/>
      <c r="E54" s="2"/>
      <c r="F54" s="63">
        <f t="shared" si="22"/>
        <v>0</v>
      </c>
      <c r="G54" s="64">
        <f t="shared" si="23"/>
        <v>0</v>
      </c>
      <c r="H54" s="41">
        <f t="shared" si="24"/>
        <v>0</v>
      </c>
      <c r="I54" s="70"/>
      <c r="J54" s="65">
        <v>0</v>
      </c>
      <c r="K54" s="45">
        <f t="shared" si="25"/>
        <v>0</v>
      </c>
      <c r="L54" s="66">
        <f t="shared" si="26"/>
        <v>0</v>
      </c>
      <c r="N54" s="67">
        <f t="shared" si="27"/>
        <v>0</v>
      </c>
      <c r="O54" s="45">
        <f t="shared" si="28"/>
        <v>0</v>
      </c>
      <c r="P54" s="63">
        <f t="shared" si="29"/>
        <v>0</v>
      </c>
      <c r="Q54" s="63">
        <f t="shared" si="30"/>
        <v>0</v>
      </c>
      <c r="R54" s="2"/>
    </row>
    <row r="55" spans="1:18" ht="15.75" customHeight="1">
      <c r="A55" s="2"/>
      <c r="B55" s="60" t="s">
        <v>119</v>
      </c>
      <c r="C55" s="61" t="s">
        <v>98</v>
      </c>
      <c r="D55" s="2"/>
      <c r="E55" s="2"/>
      <c r="F55" s="63">
        <f t="shared" si="22"/>
        <v>0</v>
      </c>
      <c r="G55" s="64">
        <f t="shared" si="23"/>
        <v>0</v>
      </c>
      <c r="H55" s="41">
        <f t="shared" si="24"/>
        <v>0</v>
      </c>
      <c r="I55" s="70"/>
      <c r="J55" s="65">
        <v>0</v>
      </c>
      <c r="K55" s="45">
        <f t="shared" si="25"/>
        <v>0</v>
      </c>
      <c r="L55" s="66">
        <f t="shared" si="26"/>
        <v>0</v>
      </c>
      <c r="N55" s="67">
        <f t="shared" si="27"/>
        <v>0</v>
      </c>
      <c r="O55" s="45">
        <f t="shared" si="28"/>
        <v>0</v>
      </c>
      <c r="P55" s="63">
        <f t="shared" si="29"/>
        <v>0</v>
      </c>
      <c r="Q55" s="63">
        <f t="shared" si="30"/>
        <v>0</v>
      </c>
      <c r="R55" s="2"/>
    </row>
    <row r="56" spans="1:18" ht="15.75" customHeight="1">
      <c r="A56" s="2"/>
      <c r="B56" s="60" t="s">
        <v>120</v>
      </c>
      <c r="C56" s="61" t="s">
        <v>98</v>
      </c>
      <c r="D56" s="2"/>
      <c r="E56" s="2"/>
      <c r="F56" s="63">
        <f t="shared" si="22"/>
        <v>0</v>
      </c>
      <c r="G56" s="64">
        <f t="shared" si="23"/>
        <v>0</v>
      </c>
      <c r="H56" s="41">
        <f t="shared" si="24"/>
        <v>0</v>
      </c>
      <c r="I56" s="70"/>
      <c r="J56" s="65">
        <v>0</v>
      </c>
      <c r="K56" s="45">
        <f t="shared" si="25"/>
        <v>0</v>
      </c>
      <c r="L56" s="66">
        <f t="shared" si="26"/>
        <v>0</v>
      </c>
      <c r="N56" s="67">
        <f t="shared" si="27"/>
        <v>0</v>
      </c>
      <c r="O56" s="45">
        <f t="shared" si="28"/>
        <v>0</v>
      </c>
      <c r="P56" s="63">
        <f t="shared" si="29"/>
        <v>0</v>
      </c>
      <c r="Q56" s="63">
        <f t="shared" si="30"/>
        <v>0</v>
      </c>
      <c r="R56" s="2"/>
    </row>
    <row r="57" spans="1:18" ht="15.75" customHeight="1">
      <c r="A57" s="2"/>
      <c r="B57" s="60" t="s">
        <v>121</v>
      </c>
      <c r="C57" s="61" t="s">
        <v>98</v>
      </c>
      <c r="D57" s="2"/>
      <c r="E57" s="2"/>
      <c r="F57" s="63">
        <f t="shared" si="22"/>
        <v>0</v>
      </c>
      <c r="G57" s="64">
        <f t="shared" si="23"/>
        <v>0</v>
      </c>
      <c r="H57" s="41">
        <f t="shared" si="24"/>
        <v>0</v>
      </c>
      <c r="I57" s="70"/>
      <c r="J57" s="65">
        <v>0</v>
      </c>
      <c r="K57" s="45">
        <f t="shared" si="25"/>
        <v>0</v>
      </c>
      <c r="L57" s="66">
        <f t="shared" si="26"/>
        <v>0</v>
      </c>
      <c r="N57" s="67">
        <f t="shared" si="27"/>
        <v>0</v>
      </c>
      <c r="O57" s="45">
        <f t="shared" si="28"/>
        <v>0</v>
      </c>
      <c r="P57" s="63">
        <f t="shared" si="29"/>
        <v>0</v>
      </c>
      <c r="Q57" s="63">
        <f t="shared" si="30"/>
        <v>0</v>
      </c>
      <c r="R57" s="2"/>
    </row>
    <row r="58" spans="1:18" ht="15.75" customHeight="1">
      <c r="A58" s="2"/>
      <c r="B58" s="60" t="s">
        <v>122</v>
      </c>
      <c r="C58" s="61" t="s">
        <v>98</v>
      </c>
      <c r="D58" s="2"/>
      <c r="E58" s="2"/>
      <c r="F58" s="63">
        <f t="shared" si="22"/>
        <v>0</v>
      </c>
      <c r="G58" s="64">
        <f t="shared" si="23"/>
        <v>0</v>
      </c>
      <c r="H58" s="41">
        <f t="shared" si="24"/>
        <v>0</v>
      </c>
      <c r="I58" s="70"/>
      <c r="J58" s="65">
        <v>0</v>
      </c>
      <c r="K58" s="45">
        <f t="shared" si="25"/>
        <v>0</v>
      </c>
      <c r="L58" s="66">
        <f t="shared" si="26"/>
        <v>0</v>
      </c>
      <c r="N58" s="67">
        <f t="shared" si="27"/>
        <v>0</v>
      </c>
      <c r="O58" s="45">
        <f t="shared" si="28"/>
        <v>0</v>
      </c>
      <c r="P58" s="63">
        <f t="shared" si="29"/>
        <v>0</v>
      </c>
      <c r="Q58" s="63">
        <f t="shared" si="30"/>
        <v>0</v>
      </c>
      <c r="R58" s="2"/>
    </row>
    <row r="59" spans="1:18" ht="15.75" customHeight="1">
      <c r="A59" s="2"/>
      <c r="B59" s="60" t="s">
        <v>123</v>
      </c>
      <c r="C59" s="61" t="s">
        <v>98</v>
      </c>
      <c r="D59" s="2"/>
      <c r="E59" s="2"/>
      <c r="F59" s="63">
        <f t="shared" si="22"/>
        <v>0</v>
      </c>
      <c r="G59" s="64">
        <f t="shared" si="23"/>
        <v>0</v>
      </c>
      <c r="H59" s="41">
        <f t="shared" si="24"/>
        <v>0</v>
      </c>
      <c r="I59" s="70"/>
      <c r="J59" s="65">
        <v>0</v>
      </c>
      <c r="K59" s="45">
        <f t="shared" si="25"/>
        <v>0</v>
      </c>
      <c r="L59" s="66">
        <f t="shared" si="26"/>
        <v>0</v>
      </c>
      <c r="N59" s="67">
        <f t="shared" si="27"/>
        <v>0</v>
      </c>
      <c r="O59" s="45">
        <f t="shared" si="28"/>
        <v>0</v>
      </c>
      <c r="P59" s="63">
        <f t="shared" si="29"/>
        <v>0</v>
      </c>
      <c r="Q59" s="63">
        <f t="shared" si="30"/>
        <v>0</v>
      </c>
      <c r="R59" s="2"/>
    </row>
    <row r="60" spans="1:18" ht="15.75" customHeight="1">
      <c r="A60" s="2"/>
      <c r="B60" s="60" t="s">
        <v>124</v>
      </c>
      <c r="C60" s="61" t="s">
        <v>98</v>
      </c>
      <c r="D60" s="2"/>
      <c r="E60" s="2"/>
      <c r="F60" s="63">
        <f t="shared" si="22"/>
        <v>0</v>
      </c>
      <c r="G60" s="64">
        <f t="shared" si="23"/>
        <v>0</v>
      </c>
      <c r="H60" s="41">
        <f t="shared" si="24"/>
        <v>0</v>
      </c>
      <c r="I60" s="70"/>
      <c r="J60" s="65">
        <v>0</v>
      </c>
      <c r="K60" s="45">
        <f t="shared" si="25"/>
        <v>0</v>
      </c>
      <c r="L60" s="66">
        <f t="shared" si="26"/>
        <v>0</v>
      </c>
      <c r="N60" s="67">
        <f t="shared" si="27"/>
        <v>0</v>
      </c>
      <c r="O60" s="45">
        <f t="shared" si="28"/>
        <v>0</v>
      </c>
      <c r="P60" s="63">
        <f t="shared" si="29"/>
        <v>0</v>
      </c>
      <c r="Q60" s="63">
        <f t="shared" si="30"/>
        <v>0</v>
      </c>
      <c r="R60" s="2"/>
    </row>
    <row r="61" spans="1:18" ht="15.75" customHeight="1">
      <c r="A61" s="2"/>
      <c r="B61" s="2"/>
      <c r="C61" s="69"/>
      <c r="D61" s="2"/>
      <c r="E61" s="69"/>
      <c r="F61" s="63"/>
      <c r="G61" s="64"/>
      <c r="H61" s="70"/>
      <c r="I61" s="70"/>
      <c r="J61" s="71"/>
      <c r="K61" s="45"/>
      <c r="L61" s="70"/>
      <c r="N61" s="67"/>
      <c r="O61" s="45"/>
      <c r="P61" s="63"/>
      <c r="Q61" s="63"/>
      <c r="R61" s="2"/>
    </row>
    <row r="62" spans="1:18" ht="15.75" customHeight="1">
      <c r="A62" s="2"/>
      <c r="B62" s="30" t="s">
        <v>50</v>
      </c>
      <c r="C62" s="29" t="s">
        <v>125</v>
      </c>
      <c r="D62" s="2"/>
      <c r="E62" s="57">
        <f>SUM(E63:E72)</f>
        <v>500000</v>
      </c>
      <c r="F62" s="63"/>
      <c r="G62" s="64"/>
      <c r="H62" s="70"/>
      <c r="I62" s="70"/>
      <c r="J62" s="71"/>
      <c r="K62" s="45"/>
      <c r="L62" s="66"/>
      <c r="N62" s="59">
        <f t="shared" ref="N62:Q62" si="31">SUM(N63:N72)</f>
        <v>624999.42000000004</v>
      </c>
      <c r="O62" s="54">
        <f t="shared" si="31"/>
        <v>182120</v>
      </c>
      <c r="P62" s="55">
        <f t="shared" si="31"/>
        <v>0.12359587163185641</v>
      </c>
      <c r="Q62" s="55">
        <f t="shared" si="31"/>
        <v>0.10416702414739416</v>
      </c>
      <c r="R62" s="2"/>
    </row>
    <row r="63" spans="1:18" ht="15.75" customHeight="1">
      <c r="A63" s="2"/>
      <c r="B63" s="60" t="s">
        <v>126</v>
      </c>
      <c r="C63" s="72" t="s">
        <v>51</v>
      </c>
      <c r="D63" s="2"/>
      <c r="E63" s="34">
        <v>200000</v>
      </c>
      <c r="F63" s="63"/>
      <c r="G63" s="64"/>
      <c r="H63" s="70"/>
      <c r="I63" s="70"/>
      <c r="J63" s="71"/>
      <c r="K63" s="45"/>
      <c r="N63" s="67">
        <f t="shared" ref="N63:N72" si="32">ROUND(O63*issue_share_price,2)</f>
        <v>249999.77</v>
      </c>
      <c r="O63" s="45">
        <f t="shared" ref="O63:O72" si="33">IF(HLOOKUP(C63,CN_table,6,FALSE)=0,0,ROUND((E63 / HLOOKUP(C63,CN_table,6,FALSE)) * HLOOKUP(C63,CN_table,14,FALSE),0))</f>
        <v>72848</v>
      </c>
      <c r="P63" s="63">
        <f t="shared" ref="P63:P72" si="34">O63/$O$86</f>
        <v>4.9438348652742561E-2</v>
      </c>
      <c r="Q63" s="63">
        <f t="shared" ref="Q63:Q72" si="35">O63/$O$87</f>
        <v>4.1666809658957665E-2</v>
      </c>
      <c r="R63" s="2"/>
    </row>
    <row r="64" spans="1:18" ht="15.75" customHeight="1">
      <c r="A64" s="2"/>
      <c r="B64" s="60" t="s">
        <v>127</v>
      </c>
      <c r="C64" s="72" t="s">
        <v>51</v>
      </c>
      <c r="D64" s="2"/>
      <c r="E64" s="34">
        <v>100000</v>
      </c>
      <c r="F64" s="63"/>
      <c r="G64" s="64"/>
      <c r="H64" s="70"/>
      <c r="I64" s="70"/>
      <c r="J64" s="71"/>
      <c r="K64" s="45"/>
      <c r="N64" s="67">
        <f t="shared" si="32"/>
        <v>124999.88</v>
      </c>
      <c r="O64" s="45">
        <f t="shared" si="33"/>
        <v>36424</v>
      </c>
      <c r="P64" s="63">
        <f t="shared" si="34"/>
        <v>2.4719174326371281E-2</v>
      </c>
      <c r="Q64" s="63">
        <f t="shared" si="35"/>
        <v>2.0833404829478833E-2</v>
      </c>
      <c r="R64" s="2"/>
    </row>
    <row r="65" spans="1:18" ht="15.75" customHeight="1">
      <c r="A65" s="2"/>
      <c r="B65" s="60" t="s">
        <v>128</v>
      </c>
      <c r="C65" s="72" t="s">
        <v>52</v>
      </c>
      <c r="D65" s="2"/>
      <c r="E65" s="34">
        <v>200000</v>
      </c>
      <c r="F65" s="55"/>
      <c r="G65" s="63"/>
      <c r="I65" s="66"/>
      <c r="J65" s="71"/>
      <c r="N65" s="67">
        <f t="shared" si="32"/>
        <v>249999.77</v>
      </c>
      <c r="O65" s="45">
        <f t="shared" si="33"/>
        <v>72848</v>
      </c>
      <c r="P65" s="63">
        <f t="shared" si="34"/>
        <v>4.9438348652742561E-2</v>
      </c>
      <c r="Q65" s="63">
        <f t="shared" si="35"/>
        <v>4.1666809658957665E-2</v>
      </c>
      <c r="R65" s="2"/>
    </row>
    <row r="66" spans="1:18" ht="15.75" customHeight="1">
      <c r="A66" s="2"/>
      <c r="B66" s="60" t="s">
        <v>129</v>
      </c>
      <c r="C66" s="72" t="s">
        <v>51</v>
      </c>
      <c r="D66" s="2"/>
      <c r="E66" s="34">
        <v>0</v>
      </c>
      <c r="F66" s="55"/>
      <c r="G66" s="63"/>
      <c r="I66" s="66"/>
      <c r="J66" s="71"/>
      <c r="N66" s="67">
        <f t="shared" si="32"/>
        <v>0</v>
      </c>
      <c r="O66" s="45">
        <f t="shared" si="33"/>
        <v>0</v>
      </c>
      <c r="P66" s="63">
        <f t="shared" si="34"/>
        <v>0</v>
      </c>
      <c r="Q66" s="63">
        <f t="shared" si="35"/>
        <v>0</v>
      </c>
      <c r="R66" s="2"/>
    </row>
    <row r="67" spans="1:18" ht="15.75" customHeight="1">
      <c r="A67" s="2"/>
      <c r="B67" s="60" t="s">
        <v>130</v>
      </c>
      <c r="C67" s="72" t="s">
        <v>51</v>
      </c>
      <c r="D67" s="2"/>
      <c r="E67" s="34">
        <v>0</v>
      </c>
      <c r="F67" s="55"/>
      <c r="G67" s="63"/>
      <c r="I67" s="66"/>
      <c r="J67" s="71"/>
      <c r="N67" s="67">
        <f t="shared" si="32"/>
        <v>0</v>
      </c>
      <c r="O67" s="45">
        <f t="shared" si="33"/>
        <v>0</v>
      </c>
      <c r="P67" s="63">
        <f t="shared" si="34"/>
        <v>0</v>
      </c>
      <c r="Q67" s="63">
        <f t="shared" si="35"/>
        <v>0</v>
      </c>
      <c r="R67" s="2"/>
    </row>
    <row r="68" spans="1:18" ht="15.75" customHeight="1">
      <c r="A68" s="2"/>
      <c r="B68" s="60" t="s">
        <v>131</v>
      </c>
      <c r="C68" s="72" t="s">
        <v>52</v>
      </c>
      <c r="D68" s="2"/>
      <c r="E68" s="34">
        <v>0</v>
      </c>
      <c r="F68" s="55"/>
      <c r="G68" s="63"/>
      <c r="I68" s="66"/>
      <c r="J68" s="71"/>
      <c r="N68" s="67">
        <f t="shared" si="32"/>
        <v>0</v>
      </c>
      <c r="O68" s="45">
        <f t="shared" si="33"/>
        <v>0</v>
      </c>
      <c r="P68" s="63">
        <f t="shared" si="34"/>
        <v>0</v>
      </c>
      <c r="Q68" s="63">
        <f t="shared" si="35"/>
        <v>0</v>
      </c>
      <c r="R68" s="2"/>
    </row>
    <row r="69" spans="1:18" ht="15.75" customHeight="1">
      <c r="A69" s="2"/>
      <c r="B69" s="60" t="s">
        <v>132</v>
      </c>
      <c r="C69" s="72" t="s">
        <v>52</v>
      </c>
      <c r="D69" s="2"/>
      <c r="E69" s="34">
        <v>0</v>
      </c>
      <c r="F69" s="55"/>
      <c r="G69" s="63"/>
      <c r="I69" s="66"/>
      <c r="J69" s="71"/>
      <c r="N69" s="67">
        <f t="shared" si="32"/>
        <v>0</v>
      </c>
      <c r="O69" s="45">
        <f t="shared" si="33"/>
        <v>0</v>
      </c>
      <c r="P69" s="63">
        <f t="shared" si="34"/>
        <v>0</v>
      </c>
      <c r="Q69" s="63">
        <f t="shared" si="35"/>
        <v>0</v>
      </c>
      <c r="R69" s="2"/>
    </row>
    <row r="70" spans="1:18" ht="15.75" customHeight="1">
      <c r="A70" s="2"/>
      <c r="B70" s="60" t="s">
        <v>133</v>
      </c>
      <c r="C70" s="72" t="s">
        <v>52</v>
      </c>
      <c r="D70" s="2"/>
      <c r="E70" s="34">
        <v>0</v>
      </c>
      <c r="F70" s="55"/>
      <c r="G70" s="63"/>
      <c r="I70" s="66"/>
      <c r="J70" s="71"/>
      <c r="N70" s="67">
        <f t="shared" si="32"/>
        <v>0</v>
      </c>
      <c r="O70" s="45">
        <f t="shared" si="33"/>
        <v>0</v>
      </c>
      <c r="P70" s="63">
        <f t="shared" si="34"/>
        <v>0</v>
      </c>
      <c r="Q70" s="63">
        <f t="shared" si="35"/>
        <v>0</v>
      </c>
      <c r="R70" s="2"/>
    </row>
    <row r="71" spans="1:18" ht="15.75" customHeight="1">
      <c r="A71" s="2"/>
      <c r="B71" s="60" t="s">
        <v>134</v>
      </c>
      <c r="C71" s="72" t="s">
        <v>52</v>
      </c>
      <c r="D71" s="2"/>
      <c r="E71" s="34">
        <v>0</v>
      </c>
      <c r="F71" s="55"/>
      <c r="G71" s="63"/>
      <c r="I71" s="66"/>
      <c r="J71" s="71"/>
      <c r="N71" s="67">
        <f t="shared" si="32"/>
        <v>0</v>
      </c>
      <c r="O71" s="45">
        <f t="shared" si="33"/>
        <v>0</v>
      </c>
      <c r="P71" s="63">
        <f t="shared" si="34"/>
        <v>0</v>
      </c>
      <c r="Q71" s="63">
        <f t="shared" si="35"/>
        <v>0</v>
      </c>
      <c r="R71" s="2"/>
    </row>
    <row r="72" spans="1:18" ht="15.75" customHeight="1">
      <c r="A72" s="2"/>
      <c r="B72" s="60" t="s">
        <v>135</v>
      </c>
      <c r="C72" s="72" t="s">
        <v>52</v>
      </c>
      <c r="D72" s="2"/>
      <c r="E72" s="34">
        <v>0</v>
      </c>
      <c r="F72" s="55"/>
      <c r="G72" s="63"/>
      <c r="H72" s="2"/>
      <c r="I72" s="66"/>
      <c r="J72" s="71"/>
      <c r="K72" s="2"/>
      <c r="L72" s="2"/>
      <c r="M72" s="2"/>
      <c r="N72" s="67">
        <f t="shared" si="32"/>
        <v>0</v>
      </c>
      <c r="O72" s="45">
        <f t="shared" si="33"/>
        <v>0</v>
      </c>
      <c r="P72" s="63">
        <f t="shared" si="34"/>
        <v>0</v>
      </c>
      <c r="Q72" s="63">
        <f t="shared" si="35"/>
        <v>0</v>
      </c>
      <c r="R72" s="2"/>
    </row>
    <row r="73" spans="1:18" ht="15.75" customHeight="1">
      <c r="A73" s="2"/>
      <c r="B73" s="30"/>
      <c r="C73" s="69"/>
      <c r="D73" s="2"/>
      <c r="E73" s="54"/>
      <c r="F73" s="55"/>
      <c r="G73" s="55"/>
      <c r="H73" s="56"/>
      <c r="I73" s="66"/>
      <c r="J73" s="71"/>
      <c r="K73" s="37"/>
      <c r="L73" s="58"/>
      <c r="N73" s="67"/>
      <c r="O73" s="54"/>
      <c r="P73" s="55"/>
      <c r="Q73" s="55"/>
      <c r="R73" s="2"/>
    </row>
    <row r="74" spans="1:18" ht="15.75" customHeight="1">
      <c r="A74" s="2"/>
      <c r="B74" s="30" t="s">
        <v>136</v>
      </c>
      <c r="C74" s="69"/>
      <c r="D74" s="2"/>
      <c r="E74" s="54">
        <f>SUM(E75:E81)</f>
        <v>100000</v>
      </c>
      <c r="F74" s="55"/>
      <c r="G74" s="55">
        <f t="shared" ref="G74:H74" si="36">SUM(G75:G81)</f>
        <v>9.0909090909090912E-2</v>
      </c>
      <c r="H74" s="56">
        <f t="shared" si="36"/>
        <v>454545.45454545453</v>
      </c>
      <c r="I74" s="66"/>
      <c r="J74" s="71"/>
      <c r="K74" s="37"/>
      <c r="L74" s="58"/>
      <c r="N74" s="59">
        <f t="shared" ref="N74:O74" si="37">SUM(N75:N81)</f>
        <v>343180</v>
      </c>
      <c r="O74" s="54">
        <f t="shared" si="37"/>
        <v>100000</v>
      </c>
      <c r="P74" s="55"/>
      <c r="Q74" s="55">
        <f>SUM(Q75:Q81)</f>
        <v>5.7196916399843055E-2</v>
      </c>
      <c r="R74" s="2"/>
    </row>
    <row r="75" spans="1:18" ht="15.75" customHeight="1">
      <c r="A75" s="2"/>
      <c r="B75" s="60" t="s">
        <v>137</v>
      </c>
      <c r="C75" s="73" t="s">
        <v>138</v>
      </c>
      <c r="D75" s="2"/>
      <c r="E75" s="62">
        <v>100000</v>
      </c>
      <c r="F75" s="63"/>
      <c r="G75" s="64">
        <f t="shared" ref="G75:G81" si="38">E75/$E$87</f>
        <v>9.0909090909090912E-2</v>
      </c>
      <c r="H75" s="41">
        <f t="shared" ref="H75:H81" si="39">G75*$C$15</f>
        <v>454545.45454545453</v>
      </c>
      <c r="I75" s="66"/>
      <c r="J75" s="2"/>
      <c r="L75" s="66"/>
      <c r="N75" s="67">
        <f>ROUND(O75*issue_share_price,2)</f>
        <v>343180</v>
      </c>
      <c r="O75" s="45">
        <f t="shared" ref="O75:O81" si="40">E75</f>
        <v>100000</v>
      </c>
      <c r="P75" s="63"/>
      <c r="Q75" s="63">
        <f t="shared" ref="Q75:Q81" si="41">O75/$O$87</f>
        <v>5.7196916399843055E-2</v>
      </c>
      <c r="R75" s="2"/>
    </row>
    <row r="76" spans="1:18" ht="15.75" customHeight="1">
      <c r="A76" s="2"/>
      <c r="B76" s="74" t="s">
        <v>139</v>
      </c>
      <c r="C76" s="73" t="s">
        <v>138</v>
      </c>
      <c r="D76" s="2"/>
      <c r="E76" s="62">
        <v>0</v>
      </c>
      <c r="F76" s="63"/>
      <c r="G76" s="64">
        <f t="shared" si="38"/>
        <v>0</v>
      </c>
      <c r="H76" s="41">
        <f t="shared" si="39"/>
        <v>0</v>
      </c>
      <c r="I76" s="66"/>
      <c r="J76" s="2"/>
      <c r="L76" s="66"/>
      <c r="N76" s="67">
        <f t="shared" ref="N76:N81" si="42">ROUNDUP(O76*issue_share_price,0)</f>
        <v>0</v>
      </c>
      <c r="O76" s="45">
        <f t="shared" si="40"/>
        <v>0</v>
      </c>
      <c r="P76" s="63"/>
      <c r="Q76" s="63">
        <f t="shared" si="41"/>
        <v>0</v>
      </c>
      <c r="R76" s="2"/>
    </row>
    <row r="77" spans="1:18" ht="15.75" customHeight="1">
      <c r="A77" s="2"/>
      <c r="B77" s="74" t="s">
        <v>140</v>
      </c>
      <c r="C77" s="73" t="s">
        <v>138</v>
      </c>
      <c r="D77" s="2"/>
      <c r="E77" s="62">
        <v>0</v>
      </c>
      <c r="F77" s="63"/>
      <c r="G77" s="64">
        <f t="shared" si="38"/>
        <v>0</v>
      </c>
      <c r="H77" s="41">
        <f t="shared" si="39"/>
        <v>0</v>
      </c>
      <c r="I77" s="66"/>
      <c r="J77" s="2"/>
      <c r="L77" s="66"/>
      <c r="N77" s="67">
        <f t="shared" si="42"/>
        <v>0</v>
      </c>
      <c r="O77" s="45">
        <f t="shared" si="40"/>
        <v>0</v>
      </c>
      <c r="P77" s="63"/>
      <c r="Q77" s="63">
        <f t="shared" si="41"/>
        <v>0</v>
      </c>
      <c r="R77" s="2"/>
    </row>
    <row r="78" spans="1:18" ht="15.75" customHeight="1">
      <c r="A78" s="2"/>
      <c r="B78" s="74" t="s">
        <v>141</v>
      </c>
      <c r="C78" s="73" t="s">
        <v>138</v>
      </c>
      <c r="D78" s="2"/>
      <c r="E78" s="62">
        <v>0</v>
      </c>
      <c r="F78" s="63"/>
      <c r="G78" s="64">
        <f t="shared" si="38"/>
        <v>0</v>
      </c>
      <c r="H78" s="41">
        <f t="shared" si="39"/>
        <v>0</v>
      </c>
      <c r="I78" s="66"/>
      <c r="J78" s="2"/>
      <c r="L78" s="66"/>
      <c r="N78" s="67">
        <f t="shared" si="42"/>
        <v>0</v>
      </c>
      <c r="O78" s="45">
        <f t="shared" si="40"/>
        <v>0</v>
      </c>
      <c r="P78" s="63"/>
      <c r="Q78" s="63">
        <f t="shared" si="41"/>
        <v>0</v>
      </c>
      <c r="R78" s="2"/>
    </row>
    <row r="79" spans="1:18" ht="15.75" customHeight="1">
      <c r="A79" s="2"/>
      <c r="B79" s="74" t="s">
        <v>142</v>
      </c>
      <c r="C79" s="73" t="s">
        <v>138</v>
      </c>
      <c r="D79" s="2"/>
      <c r="E79" s="62">
        <v>0</v>
      </c>
      <c r="F79" s="63"/>
      <c r="G79" s="64">
        <f t="shared" si="38"/>
        <v>0</v>
      </c>
      <c r="H79" s="41">
        <f t="shared" si="39"/>
        <v>0</v>
      </c>
      <c r="I79" s="66"/>
      <c r="J79" s="2"/>
      <c r="L79" s="66"/>
      <c r="N79" s="67">
        <f t="shared" si="42"/>
        <v>0</v>
      </c>
      <c r="O79" s="45">
        <f t="shared" si="40"/>
        <v>0</v>
      </c>
      <c r="P79" s="63"/>
      <c r="Q79" s="63">
        <f t="shared" si="41"/>
        <v>0</v>
      </c>
      <c r="R79" s="2"/>
    </row>
    <row r="80" spans="1:18" ht="15.75" customHeight="1">
      <c r="A80" s="2"/>
      <c r="B80" s="74" t="s">
        <v>143</v>
      </c>
      <c r="C80" s="73" t="s">
        <v>138</v>
      </c>
      <c r="D80" s="2"/>
      <c r="E80" s="62">
        <v>0</v>
      </c>
      <c r="F80" s="63"/>
      <c r="G80" s="64">
        <f t="shared" si="38"/>
        <v>0</v>
      </c>
      <c r="H80" s="41">
        <f t="shared" si="39"/>
        <v>0</v>
      </c>
      <c r="I80" s="66"/>
      <c r="J80" s="2"/>
      <c r="L80" s="66"/>
      <c r="N80" s="67">
        <f t="shared" si="42"/>
        <v>0</v>
      </c>
      <c r="O80" s="45">
        <f t="shared" si="40"/>
        <v>0</v>
      </c>
      <c r="P80" s="63"/>
      <c r="Q80" s="63">
        <f t="shared" si="41"/>
        <v>0</v>
      </c>
      <c r="R80" s="2"/>
    </row>
    <row r="81" spans="1:18" ht="15.75" customHeight="1">
      <c r="A81" s="2"/>
      <c r="B81" s="74" t="s">
        <v>144</v>
      </c>
      <c r="C81" s="73" t="s">
        <v>138</v>
      </c>
      <c r="D81" s="2"/>
      <c r="E81" s="68">
        <v>0</v>
      </c>
      <c r="F81" s="63"/>
      <c r="G81" s="64">
        <f t="shared" si="38"/>
        <v>0</v>
      </c>
      <c r="H81" s="41">
        <f t="shared" si="39"/>
        <v>0</v>
      </c>
      <c r="I81" s="66"/>
      <c r="J81" s="2"/>
      <c r="L81" s="66"/>
      <c r="N81" s="67">
        <f t="shared" si="42"/>
        <v>0</v>
      </c>
      <c r="O81" s="45">
        <f t="shared" si="40"/>
        <v>0</v>
      </c>
      <c r="P81" s="63"/>
      <c r="Q81" s="63">
        <f t="shared" si="41"/>
        <v>0</v>
      </c>
      <c r="R81" s="2"/>
    </row>
    <row r="82" spans="1:18" ht="15.75" customHeight="1">
      <c r="A82" s="2"/>
      <c r="B82" s="2"/>
      <c r="C82" s="2"/>
      <c r="D82" s="2"/>
      <c r="E82" s="2"/>
      <c r="F82" s="63"/>
      <c r="G82" s="63"/>
      <c r="H82" s="2"/>
      <c r="I82" s="2"/>
      <c r="J82" s="2"/>
      <c r="K82" s="2"/>
      <c r="L82" s="2"/>
      <c r="M82" s="2"/>
      <c r="N82" s="67"/>
      <c r="O82" s="2"/>
      <c r="P82" s="63"/>
      <c r="Q82" s="63"/>
      <c r="R82" s="2"/>
    </row>
    <row r="83" spans="1:18" ht="15.75" customHeight="1">
      <c r="A83" s="2"/>
      <c r="B83" s="30" t="s">
        <v>145</v>
      </c>
      <c r="C83" s="2"/>
      <c r="D83" s="2"/>
      <c r="E83" s="54"/>
      <c r="F83" s="63"/>
      <c r="G83" s="55"/>
      <c r="H83" s="56"/>
      <c r="I83" s="2"/>
      <c r="J83" s="2"/>
      <c r="K83" s="2"/>
      <c r="L83" s="58"/>
      <c r="M83" s="2"/>
      <c r="N83" s="67"/>
      <c r="O83" s="54"/>
      <c r="P83" s="55"/>
      <c r="Q83" s="55"/>
      <c r="R83" s="2"/>
    </row>
    <row r="84" spans="1:18" ht="15.75" customHeight="1">
      <c r="A84" s="2"/>
      <c r="B84" s="2" t="s">
        <v>146</v>
      </c>
      <c r="C84" s="73" t="s">
        <v>138</v>
      </c>
      <c r="D84" s="2"/>
      <c r="E84" s="69"/>
      <c r="F84" s="63"/>
      <c r="G84" s="64"/>
      <c r="H84" s="66"/>
      <c r="I84" s="66"/>
      <c r="J84" s="2"/>
      <c r="L84" s="66"/>
      <c r="N84" s="59">
        <f>ROUND(O84*issue_share_price,2)</f>
        <v>599995.31999999995</v>
      </c>
      <c r="O84" s="54">
        <f>MAX(ROUND(IF(C23="% includes current",Lists!D48,IF(C23="% additional",Lists!D47,"Error")),0),0)</f>
        <v>174834</v>
      </c>
      <c r="P84" s="63"/>
      <c r="Q84" s="55">
        <f>O84/$O$87</f>
        <v>9.9999656818501606E-2</v>
      </c>
      <c r="R84" s="2"/>
    </row>
    <row r="85" spans="1:18" ht="15.75" customHeight="1">
      <c r="A85" s="2"/>
      <c r="B85" s="2"/>
      <c r="C85" s="69"/>
      <c r="D85" s="2"/>
      <c r="E85" s="69"/>
      <c r="F85" s="63"/>
      <c r="G85" s="64"/>
      <c r="H85" s="70"/>
      <c r="I85" s="70"/>
      <c r="J85" s="71"/>
      <c r="K85" s="45"/>
      <c r="L85" s="70"/>
      <c r="N85" s="75"/>
      <c r="O85" s="45"/>
      <c r="P85" s="63"/>
      <c r="Q85" s="63"/>
      <c r="R85" s="2"/>
    </row>
    <row r="86" spans="1:18" ht="15.75" customHeight="1">
      <c r="A86" s="2"/>
      <c r="B86" s="76" t="s">
        <v>147</v>
      </c>
      <c r="C86" s="77"/>
      <c r="E86" s="77">
        <f>E33</f>
        <v>1000000</v>
      </c>
      <c r="F86" s="78">
        <f>F33+F45</f>
        <v>1</v>
      </c>
      <c r="G86" s="79"/>
      <c r="H86" s="80"/>
      <c r="J86" s="81"/>
      <c r="K86" s="77">
        <f t="shared" ref="K86:L86" si="43">K33+K45</f>
        <v>291392</v>
      </c>
      <c r="L86" s="80">
        <f t="shared" si="43"/>
        <v>1</v>
      </c>
      <c r="N86" s="82">
        <f t="shared" ref="N86:P86" si="44">N33+N45+N62</f>
        <v>5056798.49</v>
      </c>
      <c r="O86" s="77">
        <f t="shared" si="44"/>
        <v>1473512</v>
      </c>
      <c r="P86" s="78">
        <f t="shared" si="44"/>
        <v>1</v>
      </c>
      <c r="Q86" s="78"/>
      <c r="R86" s="2"/>
    </row>
    <row r="87" spans="1:18" ht="15.75" customHeight="1">
      <c r="A87" s="2"/>
      <c r="B87" s="76" t="s">
        <v>148</v>
      </c>
      <c r="C87" s="77"/>
      <c r="E87" s="77">
        <f>E33+E74</f>
        <v>1100000</v>
      </c>
      <c r="F87" s="78"/>
      <c r="G87" s="79">
        <f t="shared" ref="G87:H87" si="45">G33+G45+G74</f>
        <v>1</v>
      </c>
      <c r="H87" s="81">
        <f t="shared" si="45"/>
        <v>4999999.9999999991</v>
      </c>
      <c r="J87" s="81"/>
      <c r="K87" s="77"/>
      <c r="L87" s="80"/>
      <c r="N87" s="82">
        <f t="shared" ref="N87:O87" si="46">N86+N74+N84</f>
        <v>5999973.8100000005</v>
      </c>
      <c r="O87" s="77">
        <f t="shared" si="46"/>
        <v>1748346</v>
      </c>
      <c r="P87" s="78"/>
      <c r="Q87" s="78">
        <f>Q33+Q45+Q62+Q74+Q84</f>
        <v>1</v>
      </c>
      <c r="R87" s="2"/>
    </row>
    <row r="88" spans="1:18" ht="15.75" customHeight="1">
      <c r="A88" s="2"/>
      <c r="B88" s="2"/>
      <c r="C88" s="2"/>
      <c r="D88" s="2"/>
      <c r="E88" s="2"/>
      <c r="F88" s="2"/>
      <c r="G88" s="2"/>
      <c r="H88" s="2"/>
      <c r="I88" s="2"/>
      <c r="J88" s="2"/>
      <c r="K88" s="2"/>
      <c r="L88" s="2"/>
      <c r="M88" s="2"/>
      <c r="N88" s="22"/>
      <c r="O88" s="2"/>
      <c r="P88" s="2"/>
      <c r="Q88" s="2"/>
      <c r="R88" s="2"/>
    </row>
    <row r="89" spans="1:18" ht="15.75" customHeight="1"/>
    <row r="90" spans="1:18" ht="15.75" customHeight="1"/>
    <row r="91" spans="1:18" ht="15.75" customHeight="1"/>
    <row r="92" spans="1:18" ht="15.75" customHeight="1"/>
    <row r="93" spans="1:18" ht="15.75" customHeight="1"/>
    <row r="94" spans="1:18" ht="15.75" customHeight="1"/>
    <row r="95" spans="1:18" ht="15.75" customHeight="1"/>
    <row r="96" spans="1:18"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mergeCells count="4">
    <mergeCell ref="E30:H30"/>
    <mergeCell ref="J30:L30"/>
    <mergeCell ref="N30:Q30"/>
    <mergeCell ref="A1:H3"/>
  </mergeCells>
  <conditionalFormatting sqref="H13:H26">
    <cfRule type="expression" dxfId="0" priority="1">
      <formula>$C$18=0</formula>
    </cfRule>
  </conditionalFormatting>
  <dataValidations count="2">
    <dataValidation type="list" allowBlank="1" showErrorMessage="1" sqref="C23" xr:uid="{00000000-0002-0000-0200-000002000000}">
      <formula1>"% additional,% includes current"</formula1>
    </dataValidation>
    <dataValidation type="list" allowBlank="1" showErrorMessage="1" sqref="C63:C72" xr:uid="{00000000-0002-0000-0200-000003000000}">
      <formula1>$G$13:$H$13</formula1>
    </dataValidation>
  </dataValidations>
  <pageMargins left="0.70000000000000007" right="0.70000000000000007" top="0.75000000000000011" bottom="0.75000000000000011" header="0" footer="0"/>
  <pageSetup paperSize="9" orientation="landscape"/>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0200-000000000000}">
          <x14:formula1>
            <xm:f>Lists!$D$12:$D$16</xm:f>
          </x14:formula1>
          <xm:sqref>C34:C43 C46:C60</xm:sqref>
        </x14:dataValidation>
        <x14:dataValidation type="list" allowBlank="1" showErrorMessage="1" xr:uid="{00000000-0002-0000-0200-000001000000}">
          <x14:formula1>
            <xm:f>Lists!$B$25:$B$27</xm:f>
          </x14:formula1>
          <xm:sqref>C19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DE9D9"/>
  </sheetPr>
  <dimension ref="A1:Z1000"/>
  <sheetViews>
    <sheetView showGridLines="0" workbookViewId="0"/>
  </sheetViews>
  <sheetFormatPr defaultColWidth="12.625" defaultRowHeight="15" customHeight="1"/>
  <cols>
    <col min="1" max="1" width="9.125" customWidth="1"/>
    <col min="2" max="2" width="20.5" customWidth="1"/>
    <col min="3" max="3" width="24.625" customWidth="1"/>
    <col min="4" max="4" width="20.5" customWidth="1"/>
    <col min="5" max="8" width="15.625" customWidth="1"/>
    <col min="9" max="9" width="12.625" customWidth="1"/>
    <col min="10" max="24" width="7.625" customWidth="1"/>
  </cols>
  <sheetData>
    <row r="1" spans="1:26">
      <c r="A1" s="1"/>
      <c r="B1" s="1"/>
      <c r="C1" s="1"/>
      <c r="D1" s="1"/>
      <c r="E1" s="1"/>
      <c r="F1" s="1"/>
      <c r="G1" s="1"/>
      <c r="H1" s="1"/>
      <c r="I1" s="1"/>
      <c r="J1" s="2"/>
      <c r="K1" s="2"/>
      <c r="L1" s="2"/>
      <c r="M1" s="2"/>
      <c r="N1" s="2"/>
      <c r="O1" s="2"/>
      <c r="P1" s="2"/>
      <c r="Q1" s="2"/>
      <c r="R1" s="2"/>
      <c r="S1" s="2"/>
      <c r="T1" s="2"/>
      <c r="U1" s="2"/>
      <c r="V1" s="2"/>
      <c r="W1" s="2"/>
      <c r="X1" s="2"/>
      <c r="Y1" s="2"/>
      <c r="Z1" s="2"/>
    </row>
    <row r="2" spans="1:26">
      <c r="A2" s="1"/>
      <c r="B2" s="1"/>
      <c r="C2" s="1"/>
      <c r="D2" s="1"/>
      <c r="E2" s="1"/>
      <c r="F2" s="1"/>
      <c r="G2" s="1"/>
      <c r="H2" s="1"/>
      <c r="I2" s="1"/>
      <c r="J2" s="2"/>
      <c r="K2" s="2"/>
      <c r="L2" s="2"/>
      <c r="M2" s="2"/>
      <c r="N2" s="2"/>
      <c r="O2" s="2"/>
      <c r="P2" s="2"/>
      <c r="Q2" s="2"/>
      <c r="R2" s="2"/>
      <c r="S2" s="2"/>
      <c r="T2" s="2"/>
      <c r="U2" s="2"/>
      <c r="V2" s="2"/>
      <c r="W2" s="2"/>
      <c r="X2" s="2"/>
      <c r="Y2" s="2"/>
      <c r="Z2" s="2"/>
    </row>
    <row r="3" spans="1:26">
      <c r="A3" s="1"/>
      <c r="B3" s="1"/>
      <c r="C3" s="1"/>
      <c r="D3" s="1"/>
      <c r="E3" s="1"/>
      <c r="F3" s="1"/>
      <c r="G3" s="1"/>
      <c r="H3" s="1"/>
      <c r="I3" s="1"/>
      <c r="J3" s="2"/>
      <c r="K3" s="2"/>
      <c r="L3" s="2"/>
      <c r="M3" s="2"/>
      <c r="N3" s="2"/>
      <c r="O3" s="2"/>
      <c r="P3" s="2"/>
      <c r="Q3" s="2"/>
      <c r="R3" s="2"/>
      <c r="S3" s="2"/>
      <c r="T3" s="2"/>
      <c r="U3" s="2"/>
      <c r="V3" s="2"/>
      <c r="W3" s="2"/>
      <c r="X3" s="2"/>
      <c r="Y3" s="2"/>
      <c r="Z3" s="2"/>
    </row>
    <row r="4" spans="1:26">
      <c r="A4" s="2"/>
      <c r="B4" s="2"/>
      <c r="C4" s="45"/>
      <c r="F4" s="2"/>
      <c r="G4" s="2"/>
      <c r="H4" s="2"/>
      <c r="I4" s="2"/>
      <c r="J4" s="2"/>
      <c r="K4" s="2"/>
      <c r="L4" s="2"/>
      <c r="M4" s="2"/>
      <c r="N4" s="2"/>
      <c r="O4" s="2"/>
      <c r="P4" s="2"/>
      <c r="Q4" s="2"/>
      <c r="R4" s="2"/>
      <c r="S4" s="2"/>
      <c r="T4" s="2"/>
      <c r="U4" s="2"/>
      <c r="V4" s="2"/>
      <c r="W4" s="2"/>
      <c r="X4" s="2"/>
      <c r="Y4" s="2"/>
      <c r="Z4" s="2"/>
    </row>
    <row r="5" spans="1:26" ht="21">
      <c r="A5" s="2"/>
      <c r="B5" s="4" t="s">
        <v>149</v>
      </c>
      <c r="C5" s="2"/>
      <c r="D5" s="2"/>
      <c r="E5" s="2"/>
      <c r="F5" s="2"/>
      <c r="G5" s="2"/>
      <c r="H5" s="2"/>
      <c r="I5" s="2"/>
      <c r="J5" s="2"/>
      <c r="K5" s="2"/>
      <c r="L5" s="2"/>
      <c r="M5" s="2"/>
      <c r="N5" s="2"/>
      <c r="O5" s="2"/>
      <c r="P5" s="2"/>
      <c r="Q5" s="2"/>
      <c r="R5" s="2"/>
      <c r="S5" s="2"/>
      <c r="T5" s="2"/>
      <c r="U5" s="2"/>
      <c r="V5" s="2"/>
      <c r="W5" s="2"/>
      <c r="X5" s="2"/>
      <c r="Y5" s="2"/>
      <c r="Z5" s="2"/>
    </row>
    <row r="6" spans="1:26">
      <c r="A6" s="2"/>
      <c r="B6" s="2"/>
      <c r="C6" s="2"/>
      <c r="D6" s="2"/>
      <c r="E6" s="2"/>
      <c r="F6" s="2"/>
      <c r="G6" s="2"/>
      <c r="H6" s="2"/>
      <c r="I6" s="2"/>
      <c r="J6" s="2"/>
      <c r="K6" s="2"/>
      <c r="L6" s="2"/>
      <c r="M6" s="2"/>
      <c r="N6" s="2"/>
      <c r="O6" s="2"/>
      <c r="P6" s="2"/>
      <c r="Q6" s="2"/>
      <c r="R6" s="2"/>
      <c r="S6" s="2"/>
      <c r="T6" s="2"/>
      <c r="U6" s="2"/>
      <c r="V6" s="2"/>
      <c r="W6" s="2"/>
      <c r="X6" s="2"/>
      <c r="Y6" s="2"/>
      <c r="Z6" s="2"/>
    </row>
    <row r="7" spans="1:26">
      <c r="A7" s="2"/>
      <c r="B7" s="2" t="s">
        <v>150</v>
      </c>
      <c r="C7" s="2"/>
      <c r="D7" s="2"/>
      <c r="E7" s="2"/>
      <c r="F7" s="2"/>
      <c r="G7" s="2"/>
      <c r="H7" s="2"/>
      <c r="I7" s="2"/>
      <c r="J7" s="2"/>
      <c r="K7" s="2"/>
      <c r="L7" s="2"/>
      <c r="M7" s="2"/>
      <c r="N7" s="2"/>
      <c r="O7" s="2"/>
      <c r="P7" s="2"/>
      <c r="Q7" s="2"/>
      <c r="R7" s="2"/>
      <c r="S7" s="2"/>
      <c r="T7" s="2"/>
      <c r="U7" s="2"/>
      <c r="V7" s="2"/>
      <c r="W7" s="2"/>
      <c r="X7" s="2"/>
      <c r="Y7" s="2"/>
      <c r="Z7" s="2"/>
    </row>
    <row r="8" spans="1:26">
      <c r="A8" s="2"/>
      <c r="B8" s="83" t="s">
        <v>151</v>
      </c>
      <c r="C8" s="2"/>
      <c r="D8" s="2"/>
      <c r="E8" s="2"/>
      <c r="F8" s="2"/>
      <c r="G8" s="2"/>
      <c r="H8" s="2"/>
      <c r="I8" s="2"/>
      <c r="J8" s="2"/>
      <c r="K8" s="2"/>
      <c r="L8" s="2"/>
      <c r="M8" s="2"/>
      <c r="N8" s="2"/>
      <c r="O8" s="2"/>
      <c r="P8" s="2"/>
      <c r="Q8" s="2"/>
      <c r="R8" s="2"/>
      <c r="S8" s="2"/>
      <c r="T8" s="2"/>
      <c r="U8" s="2"/>
      <c r="V8" s="2"/>
      <c r="W8" s="2"/>
      <c r="X8" s="2"/>
      <c r="Y8" s="2"/>
      <c r="Z8" s="2"/>
    </row>
    <row r="9" spans="1:26">
      <c r="A9" s="2"/>
      <c r="B9" s="2" t="s">
        <v>152</v>
      </c>
      <c r="C9" s="2"/>
      <c r="D9" s="2"/>
      <c r="E9" s="2"/>
      <c r="F9" s="2"/>
      <c r="G9" s="2"/>
      <c r="H9" s="2"/>
      <c r="I9" s="2"/>
      <c r="J9" s="2"/>
      <c r="K9" s="2"/>
      <c r="L9" s="2"/>
      <c r="M9" s="2"/>
      <c r="N9" s="2"/>
      <c r="O9" s="2"/>
      <c r="P9" s="2"/>
      <c r="Q9" s="2"/>
      <c r="R9" s="2"/>
      <c r="S9" s="2"/>
      <c r="T9" s="2"/>
      <c r="U9" s="2"/>
      <c r="V9" s="2"/>
      <c r="W9" s="2"/>
      <c r="X9" s="2"/>
      <c r="Y9" s="2"/>
      <c r="Z9" s="2"/>
    </row>
    <row r="10" spans="1:26">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c r="A11" s="2"/>
      <c r="B11" s="84" t="s">
        <v>149</v>
      </c>
      <c r="C11" s="84" t="s">
        <v>153</v>
      </c>
      <c r="D11" s="84" t="s">
        <v>154</v>
      </c>
      <c r="E11" s="2"/>
      <c r="F11" s="2"/>
      <c r="G11" s="2"/>
      <c r="H11" s="2"/>
      <c r="I11" s="2"/>
      <c r="J11" s="2"/>
      <c r="K11" s="2"/>
      <c r="L11" s="2"/>
      <c r="M11" s="2"/>
      <c r="N11" s="2"/>
      <c r="O11" s="2"/>
      <c r="P11" s="2"/>
      <c r="Q11" s="2"/>
      <c r="R11" s="2"/>
      <c r="S11" s="2"/>
      <c r="T11" s="2"/>
      <c r="U11" s="2"/>
      <c r="V11" s="2"/>
      <c r="W11" s="2"/>
      <c r="X11" s="2"/>
      <c r="Y11" s="2"/>
      <c r="Z11" s="2"/>
    </row>
    <row r="12" spans="1:26">
      <c r="A12" s="2"/>
      <c r="B12" s="2" t="s">
        <v>155</v>
      </c>
      <c r="C12" s="2" t="s">
        <v>156</v>
      </c>
      <c r="D12" s="2" t="str">
        <f t="shared" ref="D12:D16" si="0">C12&amp;" ("&amp;B12&amp;")"</f>
        <v>Seed Preference (SPRF)</v>
      </c>
      <c r="E12" s="2"/>
      <c r="F12" s="2"/>
      <c r="G12" s="2"/>
      <c r="H12" s="2"/>
      <c r="I12" s="2"/>
      <c r="J12" s="2"/>
      <c r="K12" s="2"/>
      <c r="L12" s="2"/>
      <c r="M12" s="2"/>
      <c r="N12" s="2"/>
      <c r="O12" s="2"/>
      <c r="P12" s="2"/>
      <c r="Q12" s="2"/>
      <c r="R12" s="2"/>
      <c r="S12" s="2"/>
      <c r="T12" s="2"/>
      <c r="U12" s="2"/>
      <c r="V12" s="2"/>
      <c r="W12" s="2"/>
      <c r="X12" s="2"/>
      <c r="Y12" s="2"/>
      <c r="Z12" s="2"/>
    </row>
    <row r="13" spans="1:26">
      <c r="A13" s="2"/>
      <c r="B13" s="2" t="s">
        <v>157</v>
      </c>
      <c r="C13" s="2" t="s">
        <v>158</v>
      </c>
      <c r="D13" s="2" t="str">
        <f t="shared" si="0"/>
        <v>Ordinary (ORD)</v>
      </c>
      <c r="E13" s="2"/>
      <c r="F13" s="2"/>
      <c r="G13" s="2"/>
      <c r="H13" s="2"/>
      <c r="I13" s="2"/>
      <c r="J13" s="2"/>
      <c r="K13" s="2"/>
      <c r="L13" s="2"/>
      <c r="M13" s="2"/>
      <c r="N13" s="2"/>
      <c r="O13" s="2"/>
      <c r="P13" s="2"/>
      <c r="Q13" s="2"/>
      <c r="R13" s="2"/>
      <c r="S13" s="2"/>
      <c r="T13" s="2"/>
      <c r="U13" s="2"/>
      <c r="V13" s="2"/>
      <c r="W13" s="2"/>
      <c r="X13" s="2"/>
      <c r="Y13" s="2"/>
      <c r="Z13" s="2"/>
    </row>
    <row r="14" spans="1:26">
      <c r="A14" s="2"/>
      <c r="B14" s="2" t="s">
        <v>159</v>
      </c>
      <c r="C14" s="2" t="s">
        <v>160</v>
      </c>
      <c r="D14" s="2" t="str">
        <f t="shared" si="0"/>
        <v>Series A Preference (APRF)</v>
      </c>
      <c r="E14" s="2"/>
      <c r="F14" s="2"/>
      <c r="G14" s="2"/>
      <c r="H14" s="2"/>
      <c r="I14" s="2"/>
      <c r="J14" s="2"/>
      <c r="K14" s="2"/>
      <c r="L14" s="2"/>
      <c r="M14" s="2"/>
      <c r="N14" s="2"/>
      <c r="O14" s="2"/>
      <c r="P14" s="2"/>
      <c r="Q14" s="2"/>
      <c r="R14" s="2"/>
      <c r="S14" s="2"/>
      <c r="T14" s="2"/>
      <c r="U14" s="2"/>
      <c r="V14" s="2"/>
      <c r="W14" s="2"/>
      <c r="X14" s="2"/>
      <c r="Y14" s="2"/>
      <c r="Z14" s="2"/>
    </row>
    <row r="15" spans="1:26">
      <c r="A15" s="2"/>
      <c r="B15" s="2" t="s">
        <v>161</v>
      </c>
      <c r="C15" s="2" t="s">
        <v>162</v>
      </c>
      <c r="D15" s="2" t="str">
        <f t="shared" si="0"/>
        <v>Series B Preference (BPRF)</v>
      </c>
      <c r="E15" s="2"/>
      <c r="F15" s="2"/>
      <c r="G15" s="2"/>
      <c r="H15" s="2"/>
      <c r="I15" s="2"/>
      <c r="J15" s="2"/>
      <c r="K15" s="2"/>
      <c r="L15" s="2"/>
      <c r="M15" s="2"/>
      <c r="N15" s="2"/>
      <c r="O15" s="2"/>
      <c r="P15" s="2"/>
      <c r="Q15" s="2"/>
      <c r="R15" s="2"/>
      <c r="S15" s="2"/>
      <c r="T15" s="2"/>
      <c r="U15" s="2"/>
      <c r="V15" s="2"/>
      <c r="W15" s="2"/>
      <c r="X15" s="2"/>
      <c r="Y15" s="2"/>
      <c r="Z15" s="2"/>
    </row>
    <row r="16" spans="1:26">
      <c r="A16" s="2"/>
      <c r="B16" s="2" t="s">
        <v>163</v>
      </c>
      <c r="C16" s="2" t="s">
        <v>164</v>
      </c>
      <c r="D16" s="2" t="str">
        <f t="shared" si="0"/>
        <v>Series C Preference (CPRF)</v>
      </c>
      <c r="E16" s="2"/>
      <c r="F16" s="2"/>
      <c r="G16" s="2"/>
      <c r="H16" s="2"/>
      <c r="I16" s="2"/>
      <c r="J16" s="2"/>
      <c r="K16" s="2"/>
      <c r="L16" s="2"/>
      <c r="M16" s="2"/>
      <c r="N16" s="2"/>
      <c r="O16" s="2"/>
      <c r="P16" s="2"/>
      <c r="Q16" s="2"/>
      <c r="R16" s="2"/>
      <c r="S16" s="2"/>
      <c r="T16" s="2"/>
      <c r="U16" s="2"/>
      <c r="V16" s="2"/>
      <c r="W16" s="2"/>
      <c r="X16" s="2"/>
      <c r="Y16" s="2"/>
      <c r="Z16" s="2"/>
    </row>
    <row r="17" spans="1:26">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c r="A19" s="2"/>
      <c r="B19" s="84" t="s">
        <v>165</v>
      </c>
      <c r="C19" s="2"/>
      <c r="D19" s="2"/>
      <c r="E19" s="2"/>
      <c r="F19" s="2"/>
      <c r="G19" s="2"/>
      <c r="H19" s="2"/>
      <c r="I19" s="2"/>
      <c r="J19" s="2"/>
      <c r="K19" s="2"/>
      <c r="L19" s="2"/>
      <c r="M19" s="2"/>
      <c r="N19" s="2"/>
      <c r="O19" s="2"/>
      <c r="P19" s="2"/>
      <c r="Q19" s="2"/>
      <c r="R19" s="2"/>
      <c r="S19" s="2"/>
      <c r="T19" s="2"/>
      <c r="U19" s="2"/>
      <c r="V19" s="2"/>
      <c r="W19" s="2"/>
      <c r="X19" s="2"/>
      <c r="Y19" s="2"/>
      <c r="Z19" s="2"/>
    </row>
    <row r="20" spans="1:26">
      <c r="A20" s="2"/>
      <c r="B20" s="2" t="s">
        <v>166</v>
      </c>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c r="A21" s="2"/>
      <c r="B21" s="2" t="s">
        <v>167</v>
      </c>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c r="A24" s="2"/>
      <c r="B24" s="84" t="s">
        <v>168</v>
      </c>
      <c r="C24" s="84"/>
      <c r="D24" s="2"/>
      <c r="E24" s="2"/>
      <c r="F24" s="2"/>
      <c r="G24" s="2"/>
      <c r="H24" s="2"/>
      <c r="I24" s="2"/>
      <c r="J24" s="2"/>
      <c r="K24" s="2"/>
      <c r="L24" s="2"/>
      <c r="M24" s="2"/>
      <c r="N24" s="2"/>
      <c r="O24" s="2"/>
      <c r="P24" s="2"/>
      <c r="Q24" s="2"/>
      <c r="R24" s="2"/>
      <c r="S24" s="2"/>
      <c r="T24" s="2"/>
      <c r="U24" s="2"/>
      <c r="V24" s="2"/>
      <c r="W24" s="2"/>
      <c r="X24" s="2"/>
      <c r="Y24" s="2"/>
      <c r="Z24" s="2"/>
    </row>
    <row r="25" spans="1:26" ht="15.75" customHeight="1">
      <c r="A25" s="2"/>
      <c r="B25" s="2" t="s">
        <v>169</v>
      </c>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2"/>
      <c r="B26" s="2" t="s">
        <v>63</v>
      </c>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2"/>
      <c r="B27" s="2" t="s">
        <v>170</v>
      </c>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2"/>
      <c r="B30" s="30"/>
      <c r="C30" s="30"/>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2"/>
      <c r="B35" s="84" t="s">
        <v>171</v>
      </c>
      <c r="C35" s="84"/>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2"/>
      <c r="B37" s="30" t="s">
        <v>172</v>
      </c>
      <c r="C37" s="2"/>
      <c r="E37" s="2"/>
      <c r="F37" s="2"/>
      <c r="G37" s="2"/>
      <c r="H37" s="2"/>
      <c r="I37" s="2"/>
      <c r="J37" s="2"/>
      <c r="K37" s="2"/>
      <c r="L37" s="2"/>
      <c r="M37" s="2"/>
      <c r="N37" s="2"/>
      <c r="O37" s="2"/>
      <c r="P37" s="2"/>
      <c r="Q37" s="2"/>
      <c r="R37" s="2"/>
      <c r="S37" s="2"/>
      <c r="T37" s="2"/>
      <c r="U37" s="2"/>
      <c r="V37" s="2"/>
      <c r="W37" s="2"/>
      <c r="X37" s="2"/>
      <c r="Y37" s="2"/>
      <c r="Z37" s="2"/>
    </row>
    <row r="38" spans="1:26"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2"/>
      <c r="B39" s="30" t="s">
        <v>173</v>
      </c>
      <c r="C39" s="2"/>
      <c r="D39" s="29" t="s">
        <v>174</v>
      </c>
      <c r="E39" s="2"/>
      <c r="F39" s="2"/>
      <c r="G39" s="2"/>
      <c r="H39" s="2"/>
      <c r="I39" s="2"/>
      <c r="J39" s="2"/>
      <c r="K39" s="2"/>
      <c r="L39" s="2"/>
      <c r="M39" s="2"/>
      <c r="N39" s="2"/>
      <c r="O39" s="2"/>
      <c r="P39" s="2"/>
      <c r="Q39" s="2"/>
      <c r="R39" s="2"/>
      <c r="S39" s="2"/>
      <c r="T39" s="2"/>
      <c r="U39" s="2"/>
      <c r="V39" s="2"/>
      <c r="W39" s="2"/>
      <c r="X39" s="2"/>
      <c r="Y39" s="2"/>
      <c r="Z39" s="2"/>
    </row>
    <row r="40" spans="1:26" ht="15.75" customHeight="1">
      <c r="A40" s="2"/>
      <c r="B40" s="2" t="s">
        <v>175</v>
      </c>
      <c r="C40" s="2"/>
      <c r="D40" s="2">
        <f>(new_money  + CN1_value / (1 - CN1_disc) + CN2_value / (1 - CN2_disc) ) / pre_money</f>
        <v>0.37142857142857144</v>
      </c>
      <c r="E40" s="2"/>
      <c r="F40" s="2"/>
      <c r="G40" s="2"/>
      <c r="H40" s="2"/>
      <c r="I40" s="2"/>
      <c r="J40" s="2"/>
      <c r="K40" s="2"/>
      <c r="L40" s="2"/>
      <c r="M40" s="2"/>
      <c r="N40" s="2"/>
      <c r="O40" s="2"/>
      <c r="P40" s="2"/>
      <c r="Q40" s="2"/>
      <c r="R40" s="2"/>
      <c r="S40" s="2"/>
      <c r="T40" s="2"/>
      <c r="U40" s="2"/>
      <c r="V40" s="2"/>
      <c r="W40" s="2"/>
      <c r="X40" s="2"/>
      <c r="Y40" s="2"/>
      <c r="Z40" s="2"/>
    </row>
    <row r="41" spans="1:26" ht="15.75" customHeight="1">
      <c r="A41" s="2"/>
      <c r="B41" s="2" t="s">
        <v>176</v>
      </c>
      <c r="C41" s="2"/>
      <c r="D41" s="2">
        <f>new_money / pre_money + ('Cap Table'!C15/pre_money)*(CN1_value / CN1_cap + CN2_value / CN2_cap)</f>
        <v>0.37142857142857144</v>
      </c>
      <c r="E41" s="2"/>
      <c r="F41" s="2"/>
      <c r="G41" s="2"/>
      <c r="H41" s="2"/>
      <c r="I41" s="2"/>
      <c r="J41" s="2"/>
      <c r="K41" s="2"/>
      <c r="L41" s="2"/>
      <c r="M41" s="2"/>
      <c r="N41" s="2"/>
      <c r="O41" s="2"/>
      <c r="P41" s="2"/>
      <c r="Q41" s="2"/>
      <c r="R41" s="2"/>
      <c r="S41" s="2"/>
      <c r="T41" s="2"/>
      <c r="U41" s="2"/>
      <c r="V41" s="2"/>
      <c r="W41" s="2"/>
      <c r="X41" s="2"/>
      <c r="Y41" s="2"/>
      <c r="Z41" s="2"/>
    </row>
    <row r="42" spans="1:26" ht="15.75" customHeight="1">
      <c r="A42" s="2"/>
      <c r="B42" s="2" t="s">
        <v>177</v>
      </c>
      <c r="C42" s="2"/>
      <c r="D42" s="2">
        <f>(new_money + CN1_value / (1 - CN1_disc) + CN2_value * ('Cap Table'!C15 / CN2_cap) ) / pre_money</f>
        <v>0.37142857142857144</v>
      </c>
      <c r="E42" s="2"/>
      <c r="F42" s="2"/>
      <c r="G42" s="2"/>
      <c r="H42" s="2"/>
      <c r="I42" s="2"/>
      <c r="J42" s="2"/>
      <c r="K42" s="2"/>
      <c r="L42" s="2"/>
      <c r="M42" s="2"/>
      <c r="N42" s="2"/>
      <c r="O42" s="2"/>
      <c r="P42" s="2"/>
      <c r="Q42" s="2"/>
      <c r="R42" s="2"/>
      <c r="S42" s="2"/>
      <c r="T42" s="2"/>
      <c r="U42" s="2"/>
      <c r="V42" s="2"/>
      <c r="W42" s="2"/>
      <c r="X42" s="2"/>
      <c r="Y42" s="2"/>
      <c r="Z42" s="2"/>
    </row>
    <row r="43" spans="1:26" ht="15.75" customHeight="1">
      <c r="A43" s="2"/>
      <c r="B43" s="2" t="s">
        <v>178</v>
      </c>
      <c r="C43" s="2"/>
      <c r="D43" s="2">
        <f>(new_money + CN1_value * ('Cap Table'!C15 / CN1_cap) + CN2_value / (1 - CN2_disc) ) / pre_money</f>
        <v>0.37142857142857144</v>
      </c>
      <c r="E43" s="2"/>
      <c r="F43" s="2"/>
      <c r="G43" s="2"/>
      <c r="H43" s="2"/>
      <c r="I43" s="2"/>
      <c r="J43" s="2"/>
      <c r="K43" s="2"/>
      <c r="L43" s="2"/>
      <c r="M43" s="2"/>
      <c r="N43" s="2"/>
      <c r="O43" s="2"/>
      <c r="P43" s="2"/>
      <c r="Q43" s="2"/>
      <c r="R43" s="2"/>
      <c r="S43" s="2"/>
      <c r="T43" s="2"/>
      <c r="U43" s="2"/>
      <c r="V43" s="2"/>
      <c r="W43" s="2"/>
      <c r="X43" s="2"/>
      <c r="Y43" s="2"/>
      <c r="Z43" s="2"/>
    </row>
    <row r="44" spans="1:26"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2"/>
      <c r="B45" s="2" t="s">
        <v>173</v>
      </c>
      <c r="C45" s="2"/>
      <c r="D45" s="2">
        <f>IF(AND(CN1_disccap="Disc",CN2_disccap="Disc"),1,IF(AND(CN1_disccap="Cap",CN2_disccap="Cap"),2,IF(AND(CN1_disccap="Disc",CN2_disccap="Cap"),3,IF(AND(CN1_disccap="Cap",CN2_disccap="Disc"),4,"Error"))))</f>
        <v>1</v>
      </c>
      <c r="E45" s="2"/>
      <c r="F45" s="2"/>
      <c r="G45" s="2"/>
      <c r="H45" s="2"/>
      <c r="I45" s="2"/>
      <c r="J45" s="2"/>
      <c r="K45" s="2"/>
      <c r="L45" s="2"/>
      <c r="M45" s="2"/>
      <c r="N45" s="2"/>
      <c r="O45" s="2"/>
      <c r="P45" s="2"/>
      <c r="Q45" s="2"/>
      <c r="R45" s="2"/>
      <c r="S45" s="2"/>
      <c r="T45" s="2"/>
      <c r="U45" s="2"/>
      <c r="V45" s="2"/>
      <c r="W45" s="2"/>
      <c r="X45" s="2"/>
      <c r="Y45" s="2"/>
      <c r="Z45" s="2"/>
    </row>
    <row r="46" spans="1:26" ht="15.75" customHeight="1">
      <c r="A46" s="2"/>
      <c r="B46" s="2" t="s">
        <v>174</v>
      </c>
      <c r="C46" s="2"/>
      <c r="D46" s="2">
        <f t="array" ref="D46">INDEX(D40:D43,D45)</f>
        <v>0.37142857142857144</v>
      </c>
      <c r="E46" s="2"/>
      <c r="F46" s="2"/>
      <c r="G46" s="2"/>
      <c r="H46" s="2"/>
      <c r="I46" s="2"/>
      <c r="J46" s="2"/>
      <c r="K46" s="2"/>
      <c r="L46" s="2"/>
      <c r="M46" s="2"/>
      <c r="N46" s="2"/>
      <c r="O46" s="2"/>
      <c r="P46" s="2"/>
      <c r="Q46" s="2"/>
      <c r="R46" s="2"/>
      <c r="S46" s="2"/>
      <c r="T46" s="2"/>
      <c r="U46" s="2"/>
      <c r="V46" s="2"/>
      <c r="W46" s="2"/>
      <c r="X46" s="2"/>
      <c r="Y46" s="2"/>
      <c r="Z46" s="2"/>
    </row>
    <row r="47" spans="1:26" ht="15.75" customHeight="1">
      <c r="A47" s="2"/>
      <c r="B47" s="2" t="s">
        <v>179</v>
      </c>
      <c r="C47" s="2"/>
      <c r="D47" s="85">
        <f>post_money_option_pool * (shareholder_shares + optionholder_shares) * ((1 + D$46) / (1 - post_money_option_pool * (1 + D$46)))</f>
        <v>174834.43708609272</v>
      </c>
      <c r="E47" s="2"/>
      <c r="F47" s="2"/>
      <c r="G47" s="2"/>
      <c r="H47" s="2"/>
      <c r="I47" s="2"/>
      <c r="J47" s="2"/>
      <c r="K47" s="2"/>
      <c r="L47" s="2"/>
      <c r="M47" s="2"/>
      <c r="N47" s="2"/>
      <c r="O47" s="2"/>
      <c r="P47" s="2"/>
      <c r="Q47" s="2"/>
      <c r="R47" s="2"/>
      <c r="S47" s="2"/>
      <c r="T47" s="2"/>
      <c r="U47" s="2"/>
      <c r="V47" s="2"/>
      <c r="W47" s="2"/>
      <c r="X47" s="2"/>
      <c r="Y47" s="2"/>
      <c r="Z47" s="2"/>
    </row>
    <row r="48" spans="1:26" ht="15.75" customHeight="1">
      <c r="A48" s="2"/>
      <c r="B48" s="2" t="s">
        <v>180</v>
      </c>
      <c r="C48" s="2"/>
      <c r="D48" s="85">
        <f>post_money_option_pool * (shareholder_shares) * ((1 + D$46) / (1 - post_money_option_pool * (1 + D$46))) - optionholder_shares</f>
        <v>58940.397350993357</v>
      </c>
      <c r="E48" s="2"/>
      <c r="F48" s="2"/>
      <c r="G48" s="2"/>
      <c r="H48" s="2"/>
      <c r="I48" s="2"/>
      <c r="J48" s="2"/>
      <c r="K48" s="2"/>
      <c r="L48" s="2"/>
      <c r="M48" s="2"/>
      <c r="N48" s="2"/>
      <c r="O48" s="2"/>
      <c r="P48" s="2"/>
      <c r="Q48" s="2"/>
      <c r="R48" s="2"/>
      <c r="S48" s="2"/>
      <c r="T48" s="2"/>
      <c r="U48" s="2"/>
      <c r="V48" s="2"/>
      <c r="W48" s="2"/>
      <c r="X48" s="2"/>
      <c r="Y48" s="2"/>
      <c r="Z48" s="2"/>
    </row>
    <row r="49" spans="1:26"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row r="250" spans="1:26" ht="15.75" customHeight="1"/>
    <row r="251" spans="1:26" ht="15.75" customHeight="1"/>
    <row r="252" spans="1:26" ht="15.75" customHeight="1"/>
    <row r="253" spans="1:26" ht="15.75" customHeight="1"/>
    <row r="254" spans="1:26" ht="15.75" customHeight="1"/>
    <row r="255" spans="1:26" ht="15.75" customHeight="1"/>
    <row r="256" spans="1:2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B8" r:id="rId1" xr:uid="{00000000-0004-0000-0300-000000000000}"/>
  </hyperlinks>
  <pageMargins left="0.7" right="0.7" top="0.75" bottom="0.75" header="0" footer="0"/>
  <pageSetup paperSize="9" orientation="portrait"/>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23</vt:i4>
      </vt:variant>
    </vt:vector>
  </HeadingPairs>
  <TitlesOfParts>
    <vt:vector size="27" baseType="lpstr">
      <vt:lpstr>Title</vt:lpstr>
      <vt:lpstr>Instructions</vt:lpstr>
      <vt:lpstr>Cap Table</vt:lpstr>
      <vt:lpstr>Lists</vt:lpstr>
      <vt:lpstr>CN_conversion_method</vt:lpstr>
      <vt:lpstr>CN_table</vt:lpstr>
      <vt:lpstr>CN1_cap</vt:lpstr>
      <vt:lpstr>CN1_disc</vt:lpstr>
      <vt:lpstr>CN1_disccap</vt:lpstr>
      <vt:lpstr>CN1_invested</vt:lpstr>
      <vt:lpstr>CN1_value</vt:lpstr>
      <vt:lpstr>CN2_cap</vt:lpstr>
      <vt:lpstr>CN2_disc</vt:lpstr>
      <vt:lpstr>CN2_disccap</vt:lpstr>
      <vt:lpstr>CN2_invested</vt:lpstr>
      <vt:lpstr>CN2_value</vt:lpstr>
      <vt:lpstr>inputs</vt:lpstr>
      <vt:lpstr>investment_date</vt:lpstr>
      <vt:lpstr>issue_share_price</vt:lpstr>
      <vt:lpstr>new_money</vt:lpstr>
      <vt:lpstr>optionholder_shares</vt:lpstr>
      <vt:lpstr>post_money_option_pool</vt:lpstr>
      <vt:lpstr>post_money_valuation</vt:lpstr>
      <vt:lpstr>pre_money</vt:lpstr>
      <vt:lpstr>pre_money_valuation</vt:lpstr>
      <vt:lpstr>share_classes</vt:lpstr>
      <vt:lpstr>shareholder_shares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Director</cp:lastModifiedBy>
  <dcterms:modified xsi:type="dcterms:W3CDTF">2026-02-01T05:25:57Z</dcterms:modified>
</cp:coreProperties>
</file>